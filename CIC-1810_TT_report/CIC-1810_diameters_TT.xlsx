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etalcorp-my.sharepoint.com/personal/cmm_mitutoyo_retal_lt/Documents/_R&amp;D_LT MITUTOYO/RIC-1810 all measurements/Reports/"/>
    </mc:Choice>
  </mc:AlternateContent>
  <xr:revisionPtr revIDLastSave="89" documentId="8_{5681604A-B21E-4E24-8A77-4D67C5C694E1}" xr6:coauthVersionLast="47" xr6:coauthVersionMax="47" xr10:uidLastSave="{4EDACC4A-274E-4ACC-A359-8DB14FA25881}"/>
  <bookViews>
    <workbookView xWindow="-28920" yWindow="-120" windowWidth="29040" windowHeight="15720" activeTab="1" xr2:uid="{00000000-000D-0000-FFFF-FFFF00000000}"/>
  </bookViews>
  <sheets>
    <sheet name="Template" sheetId="6" r:id="rId1"/>
    <sheet name="TT measurements" sheetId="8" r:id="rId2"/>
    <sheet name="DIAMETERS" sheetId="22" r:id="rId3"/>
    <sheet name="Cavity chablon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9" i="8" l="1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32" i="8"/>
  <c r="I29" i="22"/>
  <c r="G29" i="22"/>
  <c r="C29" i="22"/>
  <c r="I28" i="22"/>
  <c r="H28" i="22"/>
  <c r="G28" i="22"/>
  <c r="F28" i="22"/>
  <c r="E28" i="22"/>
  <c r="D28" i="22"/>
  <c r="C28" i="22"/>
  <c r="I27" i="22"/>
  <c r="H27" i="22"/>
  <c r="G27" i="22"/>
  <c r="F27" i="22"/>
  <c r="E27" i="22"/>
  <c r="D27" i="22"/>
  <c r="C27" i="22"/>
  <c r="I26" i="22"/>
  <c r="H26" i="22"/>
  <c r="G26" i="22"/>
  <c r="F26" i="22"/>
  <c r="E26" i="22"/>
  <c r="D26" i="22"/>
  <c r="C26" i="22"/>
  <c r="I24" i="22"/>
  <c r="I25" i="22" s="1"/>
  <c r="H24" i="22"/>
  <c r="H25" i="22" s="1"/>
  <c r="G24" i="22"/>
  <c r="G25" i="22" s="1"/>
  <c r="F24" i="22"/>
  <c r="F25" i="22" s="1"/>
  <c r="E24" i="22"/>
  <c r="E25" i="22" s="1"/>
  <c r="D24" i="22"/>
  <c r="D25" i="22" s="1"/>
  <c r="C24" i="22"/>
  <c r="C25" i="22" s="1"/>
  <c r="I23" i="22"/>
  <c r="I30" i="22" s="1"/>
  <c r="H23" i="22"/>
  <c r="H30" i="22" s="1"/>
  <c r="G23" i="22"/>
  <c r="G30" i="22" s="1"/>
  <c r="F23" i="22"/>
  <c r="F30" i="22" s="1"/>
  <c r="E23" i="22"/>
  <c r="E30" i="22" s="1"/>
  <c r="D23" i="22"/>
  <c r="D30" i="22" s="1"/>
  <c r="C23" i="22"/>
  <c r="C30" i="22" s="1"/>
  <c r="I22" i="22"/>
  <c r="H22" i="22"/>
  <c r="H29" i="22" s="1"/>
  <c r="G22" i="22"/>
  <c r="F22" i="22"/>
  <c r="F29" i="22" s="1"/>
  <c r="E22" i="22"/>
  <c r="E29" i="22" s="1"/>
  <c r="D22" i="22"/>
  <c r="D29" i="22" s="1"/>
  <c r="C22" i="22"/>
  <c r="O24" i="8"/>
  <c r="O23" i="8"/>
  <c r="O29" i="8" l="1"/>
  <c r="O28" i="8"/>
  <c r="O31" i="8"/>
  <c r="O30" i="8"/>
  <c r="O25" i="8"/>
  <c r="O26" i="8" s="1"/>
  <c r="O27" i="8"/>
  <c r="D23" i="8"/>
  <c r="D30" i="8" s="1"/>
  <c r="E23" i="8"/>
  <c r="E30" i="8" s="1"/>
  <c r="F23" i="8"/>
  <c r="F30" i="8" s="1"/>
  <c r="G23" i="8"/>
  <c r="G30" i="8" s="1"/>
  <c r="H23" i="8"/>
  <c r="H30" i="8" s="1"/>
  <c r="I23" i="8"/>
  <c r="I30" i="8" s="1"/>
  <c r="J23" i="8"/>
  <c r="J30" i="8" s="1"/>
  <c r="K23" i="8"/>
  <c r="K30" i="8" s="1"/>
  <c r="L23" i="8"/>
  <c r="L30" i="8" s="1"/>
  <c r="M23" i="8"/>
  <c r="M30" i="8" s="1"/>
  <c r="N23" i="8"/>
  <c r="N30" i="8" s="1"/>
  <c r="D24" i="8"/>
  <c r="D31" i="8" s="1"/>
  <c r="E24" i="8"/>
  <c r="E31" i="8" s="1"/>
  <c r="F24" i="8"/>
  <c r="F31" i="8" s="1"/>
  <c r="G24" i="8"/>
  <c r="H24" i="8"/>
  <c r="H31" i="8" s="1"/>
  <c r="I24" i="8"/>
  <c r="I31" i="8" s="1"/>
  <c r="J24" i="8"/>
  <c r="J31" i="8" s="1"/>
  <c r="K24" i="8"/>
  <c r="K31" i="8" s="1"/>
  <c r="L24" i="8"/>
  <c r="L31" i="8" s="1"/>
  <c r="M24" i="8"/>
  <c r="M31" i="8" s="1"/>
  <c r="N24" i="8"/>
  <c r="N31" i="8" s="1"/>
  <c r="D25" i="8"/>
  <c r="D26" i="8" s="1"/>
  <c r="E25" i="8"/>
  <c r="E26" i="8" s="1"/>
  <c r="F25" i="8"/>
  <c r="F26" i="8" s="1"/>
  <c r="G25" i="8"/>
  <c r="G26" i="8" s="1"/>
  <c r="H25" i="8"/>
  <c r="H26" i="8" s="1"/>
  <c r="I25" i="8"/>
  <c r="I26" i="8" s="1"/>
  <c r="J25" i="8"/>
  <c r="J26" i="8" s="1"/>
  <c r="K25" i="8"/>
  <c r="K26" i="8" s="1"/>
  <c r="L25" i="8"/>
  <c r="L26" i="8" s="1"/>
  <c r="M25" i="8"/>
  <c r="M26" i="8" s="1"/>
  <c r="N25" i="8"/>
  <c r="N26" i="8" s="1"/>
  <c r="D27" i="8"/>
  <c r="E27" i="8"/>
  <c r="F27" i="8"/>
  <c r="G27" i="8"/>
  <c r="H27" i="8"/>
  <c r="I27" i="8"/>
  <c r="J27" i="8"/>
  <c r="K27" i="8"/>
  <c r="L27" i="8"/>
  <c r="M27" i="8"/>
  <c r="N27" i="8"/>
  <c r="D28" i="8"/>
  <c r="E28" i="8"/>
  <c r="F28" i="8"/>
  <c r="G28" i="8"/>
  <c r="H28" i="8"/>
  <c r="I28" i="8"/>
  <c r="J28" i="8"/>
  <c r="K28" i="8"/>
  <c r="L28" i="8"/>
  <c r="M28" i="8"/>
  <c r="N28" i="8"/>
  <c r="D29" i="8"/>
  <c r="E29" i="8"/>
  <c r="F29" i="8"/>
  <c r="G29" i="8"/>
  <c r="H29" i="8"/>
  <c r="I29" i="8"/>
  <c r="J29" i="8"/>
  <c r="K29" i="8"/>
  <c r="L29" i="8"/>
  <c r="M29" i="8"/>
  <c r="N29" i="8"/>
  <c r="C29" i="8"/>
  <c r="C28" i="8"/>
  <c r="C27" i="8"/>
  <c r="C25" i="8"/>
  <c r="C26" i="8" s="1"/>
  <c r="C24" i="8"/>
  <c r="C31" i="8" s="1"/>
  <c r="C23" i="8"/>
  <c r="C30" i="8" s="1"/>
  <c r="G31" i="8"/>
  <c r="I28" i="6"/>
  <c r="H28" i="6"/>
  <c r="G28" i="6"/>
  <c r="F28" i="6"/>
  <c r="E28" i="6"/>
  <c r="D28" i="6"/>
  <c r="C28" i="6"/>
  <c r="I27" i="6"/>
  <c r="H27" i="6"/>
  <c r="G27" i="6"/>
  <c r="F27" i="6"/>
  <c r="E27" i="6"/>
  <c r="D27" i="6"/>
  <c r="C27" i="6"/>
  <c r="I26" i="6"/>
  <c r="H26" i="6"/>
  <c r="G26" i="6"/>
  <c r="F26" i="6"/>
  <c r="E26" i="6"/>
  <c r="D26" i="6"/>
  <c r="C26" i="6"/>
  <c r="I24" i="6"/>
  <c r="I25" i="6" s="1"/>
  <c r="H24" i="6"/>
  <c r="H25" i="6" s="1"/>
  <c r="G24" i="6"/>
  <c r="G25" i="6" s="1"/>
  <c r="F24" i="6"/>
  <c r="F25" i="6" s="1"/>
  <c r="E24" i="6"/>
  <c r="E25" i="6" s="1"/>
  <c r="D24" i="6"/>
  <c r="D25" i="6" s="1"/>
  <c r="C24" i="6"/>
  <c r="C25" i="6" s="1"/>
  <c r="I23" i="6"/>
  <c r="I30" i="6" s="1"/>
  <c r="H23" i="6"/>
  <c r="H30" i="6" s="1"/>
  <c r="G23" i="6"/>
  <c r="G30" i="6" s="1"/>
  <c r="F23" i="6"/>
  <c r="F30" i="6" s="1"/>
  <c r="E23" i="6"/>
  <c r="E30" i="6" s="1"/>
  <c r="D23" i="6"/>
  <c r="D30" i="6" s="1"/>
  <c r="C23" i="6"/>
  <c r="C30" i="6" s="1"/>
  <c r="I22" i="6"/>
  <c r="I29" i="6" s="1"/>
  <c r="H22" i="6"/>
  <c r="H29" i="6" s="1"/>
  <c r="G22" i="6"/>
  <c r="G29" i="6" s="1"/>
  <c r="F22" i="6"/>
  <c r="F29" i="6" s="1"/>
  <c r="E22" i="6"/>
  <c r="E29" i="6" s="1"/>
  <c r="D22" i="6"/>
  <c r="D29" i="6" s="1"/>
  <c r="C22" i="6"/>
  <c r="C29" i="6" s="1"/>
</calcChain>
</file>

<file path=xl/sharedStrings.xml><?xml version="1.0" encoding="utf-8"?>
<sst xmlns="http://schemas.openxmlformats.org/spreadsheetml/2006/main" count="115" uniqueCount="55">
  <si>
    <t xml:space="preserve">Criteria </t>
  </si>
  <si>
    <t>Dimensions</t>
  </si>
  <si>
    <t>Diameter</t>
  </si>
  <si>
    <t>OAH</t>
  </si>
  <si>
    <t>TT</t>
  </si>
  <si>
    <t>E</t>
  </si>
  <si>
    <t>Min</t>
  </si>
  <si>
    <t>Max</t>
  </si>
  <si>
    <t>A</t>
  </si>
  <si>
    <t>R</t>
  </si>
  <si>
    <t>SR</t>
  </si>
  <si>
    <t>Specified Size</t>
  </si>
  <si>
    <t>Upper Tolerance Value</t>
  </si>
  <si>
    <t>Lower Tolerance Value</t>
  </si>
  <si>
    <t>UTV</t>
  </si>
  <si>
    <t>LTV</t>
  </si>
  <si>
    <t>Average</t>
  </si>
  <si>
    <t>Deviation</t>
  </si>
  <si>
    <t>SD</t>
  </si>
  <si>
    <t># Above Specification</t>
  </si>
  <si>
    <t># Below Specification</t>
  </si>
  <si>
    <t>Design code:</t>
  </si>
  <si>
    <t>Product ID:</t>
  </si>
  <si>
    <t>Weight:</t>
  </si>
  <si>
    <t>Production date:</t>
  </si>
  <si>
    <t>Manufacturing plant:</t>
  </si>
  <si>
    <t>Color:</t>
  </si>
  <si>
    <t>Controller:</t>
  </si>
  <si>
    <t>Measurement date:</t>
  </si>
  <si>
    <t>clear</t>
  </si>
  <si>
    <t>2025.01.20</t>
  </si>
  <si>
    <t>AB</t>
  </si>
  <si>
    <t>2025.02.02</t>
  </si>
  <si>
    <t>XC_1810_61_T</t>
  </si>
  <si>
    <t>2,5g</t>
  </si>
  <si>
    <t>Retal Baltic Films</t>
  </si>
  <si>
    <t>?</t>
  </si>
  <si>
    <t>CAVITY PLACEMENT IN THE MOLD</t>
  </si>
  <si>
    <t>RIC_1881_2</t>
  </si>
  <si>
    <t>2025 10 01</t>
  </si>
  <si>
    <t>Inplast Ukraine LTD</t>
  </si>
  <si>
    <t>Green 2280</t>
  </si>
  <si>
    <t>01K095248</t>
  </si>
  <si>
    <t>Husky, 96 lizdai</t>
  </si>
  <si>
    <t>Corvaglia, 96 lizdai</t>
  </si>
  <si>
    <t>Husky, 72 lizdai</t>
  </si>
  <si>
    <t>Z-molds, 72 lizdai</t>
  </si>
  <si>
    <t>Corvaglia, 72 lizdai</t>
  </si>
  <si>
    <t>2025.10.16</t>
  </si>
  <si>
    <t>AVG</t>
  </si>
  <si>
    <t>Mold:</t>
  </si>
  <si>
    <t>Material:</t>
  </si>
  <si>
    <t>Borouge BorPure MB5568</t>
  </si>
  <si>
    <t xml:space="preserve"> </t>
  </si>
  <si>
    <t>TT (Top panel Thickness)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</si>
</sst>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theme="2" tint="-0.24994659260841701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0" xfId="0" applyFont="1"/>
    <xf numFmtId="0" fontId="4" fillId="2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8" xfId="0" applyFont="1" applyBorder="1"/>
    <xf numFmtId="0" fontId="2" fillId="0" borderId="11" xfId="0" applyFont="1" applyBorder="1"/>
    <xf numFmtId="0" fontId="2" fillId="0" borderId="19" xfId="0" applyFont="1" applyBorder="1"/>
    <xf numFmtId="0" fontId="2" fillId="0" borderId="13" xfId="0" applyFont="1" applyBorder="1"/>
    <xf numFmtId="0" fontId="2" fillId="0" borderId="14" xfId="0" applyFont="1" applyBorder="1"/>
    <xf numFmtId="0" fontId="4" fillId="0" borderId="5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23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64" fontId="0" fillId="0" borderId="5" xfId="0" applyNumberFormat="1" applyBorder="1"/>
    <xf numFmtId="164" fontId="0" fillId="0" borderId="4" xfId="0" applyNumberFormat="1" applyBorder="1"/>
  </cellXfs>
  <cellStyles count="2">
    <cellStyle name="Normal" xfId="0" builtinId="0"/>
    <cellStyle name="Normal 2" xfId="1" xr:uid="{EC0E0E20-D308-4AA4-8B45-D21A6009BBD1}"/>
  </cellStyles>
  <dxfs count="6">
    <dxf>
      <fill>
        <patternFill patternType="lightUp">
          <fgColor rgb="FFFF0000"/>
          <bgColor auto="1"/>
        </patternFill>
      </fill>
    </dxf>
    <dxf>
      <fill>
        <patternFill patternType="lightDown">
          <fgColor rgb="FFFF0000"/>
          <bgColor auto="1"/>
        </patternFill>
      </fill>
    </dxf>
    <dxf>
      <fill>
        <patternFill patternType="lightUp">
          <fgColor rgb="FFFF0000"/>
          <bgColor auto="1"/>
        </patternFill>
      </fill>
    </dxf>
    <dxf>
      <fill>
        <patternFill patternType="lightDown">
          <fgColor rgb="FFFF0000"/>
          <bgColor auto="1"/>
        </patternFill>
      </fill>
    </dxf>
    <dxf>
      <fill>
        <patternFill patternType="lightUp">
          <fgColor rgb="FFFF0000"/>
          <bgColor auto="1"/>
        </patternFill>
      </fill>
    </dxf>
    <dxf>
      <fill>
        <patternFill patternType="lightDown">
          <fgColor rgb="FFFF0000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57150</xdr:rowOff>
    </xdr:from>
    <xdr:to>
      <xdr:col>2</xdr:col>
      <xdr:colOff>704850</xdr:colOff>
      <xdr:row>4</xdr:row>
      <xdr:rowOff>59163</xdr:rowOff>
    </xdr:to>
    <xdr:pic>
      <xdr:nvPicPr>
        <xdr:cNvPr id="3" name="pasted-image.png">
          <a:extLst>
            <a:ext uri="{FF2B5EF4-FFF2-40B4-BE49-F238E27FC236}">
              <a16:creationId xmlns:a16="http://schemas.microsoft.com/office/drawing/2014/main" id="{A28EE172-E2C4-4C03-8620-96A3EAD367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" y="238125"/>
          <a:ext cx="2213610" cy="554463"/>
        </a:xfrm>
        <a:prstGeom prst="rect">
          <a:avLst/>
        </a:prstGeom>
        <a:ln w="12700">
          <a:miter lim="400000"/>
        </a:ln>
      </xdr:spPr>
    </xdr:pic>
    <xdr:clientData/>
  </xdr:twoCellAnchor>
  <xdr:twoCellAnchor editAs="oneCell">
    <xdr:from>
      <xdr:col>5</xdr:col>
      <xdr:colOff>443866</xdr:colOff>
      <xdr:row>1</xdr:row>
      <xdr:rowOff>72391</xdr:rowOff>
    </xdr:from>
    <xdr:to>
      <xdr:col>8</xdr:col>
      <xdr:colOff>460933</xdr:colOff>
      <xdr:row>13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FEF67-B090-5B17-BFDE-5681B8A9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6366" y="262891"/>
          <a:ext cx="2617392" cy="2232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57150</xdr:rowOff>
    </xdr:from>
    <xdr:to>
      <xdr:col>2</xdr:col>
      <xdr:colOff>701040</xdr:colOff>
      <xdr:row>4</xdr:row>
      <xdr:rowOff>55353</xdr:rowOff>
    </xdr:to>
    <xdr:pic>
      <xdr:nvPicPr>
        <xdr:cNvPr id="2" name="pasted-image.png">
          <a:extLst>
            <a:ext uri="{FF2B5EF4-FFF2-40B4-BE49-F238E27FC236}">
              <a16:creationId xmlns:a16="http://schemas.microsoft.com/office/drawing/2014/main" id="{EAFC553F-A260-43C7-8D49-1EB9C68E7A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43840"/>
          <a:ext cx="2200275" cy="548748"/>
        </a:xfrm>
        <a:prstGeom prst="rect">
          <a:avLst/>
        </a:prstGeom>
        <a:ln w="12700">
          <a:miter lim="400000"/>
        </a:ln>
      </xdr:spPr>
    </xdr:pic>
    <xdr:clientData/>
  </xdr:twoCellAnchor>
  <xdr:twoCellAnchor editAs="oneCell">
    <xdr:from>
      <xdr:col>4</xdr:col>
      <xdr:colOff>262344</xdr:colOff>
      <xdr:row>1</xdr:row>
      <xdr:rowOff>140667</xdr:rowOff>
    </xdr:from>
    <xdr:to>
      <xdr:col>9</xdr:col>
      <xdr:colOff>439959</xdr:colOff>
      <xdr:row>15</xdr:row>
      <xdr:rowOff>55068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B584EC-534D-59CB-4284-CAECCE70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7594" y="331167"/>
          <a:ext cx="3223982" cy="2381376"/>
        </a:xfrm>
        <a:prstGeom prst="rect">
          <a:avLst/>
        </a:prstGeom>
      </xdr:spPr>
    </xdr:pic>
    <xdr:clientData/>
  </xdr:twoCellAnchor>
  <xdr:twoCellAnchor editAs="oneCell">
    <xdr:from>
      <xdr:col>10</xdr:col>
      <xdr:colOff>155863</xdr:colOff>
      <xdr:row>1</xdr:row>
      <xdr:rowOff>29421</xdr:rowOff>
    </xdr:from>
    <xdr:to>
      <xdr:col>14</xdr:col>
      <xdr:colOff>440647</xdr:colOff>
      <xdr:row>15</xdr:row>
      <xdr:rowOff>169411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23284D-45BE-B67B-1571-327D60FAE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35042" y="219921"/>
          <a:ext cx="2745499" cy="2608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57150</xdr:rowOff>
    </xdr:from>
    <xdr:to>
      <xdr:col>2</xdr:col>
      <xdr:colOff>701040</xdr:colOff>
      <xdr:row>4</xdr:row>
      <xdr:rowOff>55353</xdr:rowOff>
    </xdr:to>
    <xdr:pic>
      <xdr:nvPicPr>
        <xdr:cNvPr id="2" name="pasted-image.png">
          <a:extLst>
            <a:ext uri="{FF2B5EF4-FFF2-40B4-BE49-F238E27FC236}">
              <a16:creationId xmlns:a16="http://schemas.microsoft.com/office/drawing/2014/main" id="{BFFFE60E-7D7E-4256-B496-1FC4C9A598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43840"/>
          <a:ext cx="2196465" cy="544938"/>
        </a:xfrm>
        <a:prstGeom prst="rect">
          <a:avLst/>
        </a:prstGeom>
        <a:ln w="12700">
          <a:miter lim="400000"/>
        </a:ln>
      </xdr:spPr>
    </xdr:pic>
    <xdr:clientData/>
  </xdr:twoCellAnchor>
  <xdr:twoCellAnchor editAs="oneCell">
    <xdr:from>
      <xdr:col>5</xdr:col>
      <xdr:colOff>443866</xdr:colOff>
      <xdr:row>1</xdr:row>
      <xdr:rowOff>72391</xdr:rowOff>
    </xdr:from>
    <xdr:to>
      <xdr:col>8</xdr:col>
      <xdr:colOff>460933</xdr:colOff>
      <xdr:row>13</xdr:row>
      <xdr:rowOff>129541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158A-2648-455B-B70C-53BA0B563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2556" y="262891"/>
          <a:ext cx="2621202" cy="222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C073-85A3-4C2A-B8FD-B1672AD5D389}">
  <sheetPr codeName="Sheet1"/>
  <dimension ref="B1:M40"/>
  <sheetViews>
    <sheetView zoomScaleNormal="100" workbookViewId="0">
      <selection activeCell="F20" sqref="F20"/>
    </sheetView>
  </sheetViews>
  <sheetFormatPr defaultColWidth="8.88671875" defaultRowHeight="14.4" x14ac:dyDescent="0.3"/>
  <cols>
    <col min="1" max="1" width="8.88671875" style="1"/>
    <col min="2" max="2" width="22.6640625" style="1" customWidth="1"/>
    <col min="3" max="9" width="12.6640625" style="1" customWidth="1"/>
    <col min="10" max="16384" width="8.88671875" style="1"/>
  </cols>
  <sheetData>
    <row r="1" spans="2:9" ht="15" thickBot="1" x14ac:dyDescent="0.35"/>
    <row r="2" spans="2:9" x14ac:dyDescent="0.3">
      <c r="F2" s="33"/>
      <c r="G2" s="34"/>
      <c r="H2" s="34"/>
      <c r="I2" s="35"/>
    </row>
    <row r="3" spans="2:9" x14ac:dyDescent="0.3">
      <c r="F3" s="36"/>
      <c r="I3" s="37"/>
    </row>
    <row r="4" spans="2:9" x14ac:dyDescent="0.3">
      <c r="F4" s="36"/>
      <c r="I4" s="37"/>
    </row>
    <row r="5" spans="2:9" x14ac:dyDescent="0.3">
      <c r="F5" s="36"/>
      <c r="I5" s="37"/>
    </row>
    <row r="6" spans="2:9" x14ac:dyDescent="0.3">
      <c r="B6" s="32" t="s">
        <v>21</v>
      </c>
      <c r="C6" s="32" t="s">
        <v>33</v>
      </c>
      <c r="F6" s="36"/>
      <c r="I6" s="37"/>
    </row>
    <row r="7" spans="2:9" x14ac:dyDescent="0.3">
      <c r="B7" s="32" t="s">
        <v>23</v>
      </c>
      <c r="C7" s="32" t="s">
        <v>34</v>
      </c>
      <c r="F7" s="36"/>
      <c r="I7" s="37"/>
    </row>
    <row r="8" spans="2:9" x14ac:dyDescent="0.3">
      <c r="B8" s="32" t="s">
        <v>22</v>
      </c>
      <c r="C8" s="32">
        <v>123456</v>
      </c>
      <c r="F8" s="36"/>
      <c r="I8" s="37"/>
    </row>
    <row r="9" spans="2:9" x14ac:dyDescent="0.3">
      <c r="B9" s="32" t="s">
        <v>26</v>
      </c>
      <c r="C9" s="32" t="s">
        <v>29</v>
      </c>
      <c r="F9" s="36"/>
      <c r="I9" s="37"/>
    </row>
    <row r="10" spans="2:9" x14ac:dyDescent="0.3">
      <c r="B10" s="32" t="s">
        <v>24</v>
      </c>
      <c r="C10" s="32" t="s">
        <v>30</v>
      </c>
      <c r="F10" s="36"/>
      <c r="I10" s="37"/>
    </row>
    <row r="11" spans="2:9" x14ac:dyDescent="0.3">
      <c r="B11" s="32" t="s">
        <v>25</v>
      </c>
      <c r="C11" s="32" t="s">
        <v>35</v>
      </c>
      <c r="F11" s="36"/>
      <c r="I11" s="37"/>
    </row>
    <row r="12" spans="2:9" x14ac:dyDescent="0.3">
      <c r="B12" s="32"/>
      <c r="C12" s="32"/>
      <c r="F12" s="36"/>
      <c r="I12" s="37"/>
    </row>
    <row r="13" spans="2:9" x14ac:dyDescent="0.3">
      <c r="B13" s="32" t="s">
        <v>27</v>
      </c>
      <c r="C13" s="32" t="s">
        <v>31</v>
      </c>
      <c r="F13" s="36"/>
      <c r="I13" s="37"/>
    </row>
    <row r="14" spans="2:9" ht="15" thickBot="1" x14ac:dyDescent="0.35">
      <c r="B14" s="32" t="s">
        <v>28</v>
      </c>
      <c r="C14" s="32" t="s">
        <v>32</v>
      </c>
      <c r="F14" s="38"/>
      <c r="G14" s="39"/>
      <c r="H14" s="39"/>
      <c r="I14" s="40"/>
    </row>
    <row r="15" spans="2:9" ht="14.4" customHeight="1" thickBot="1" x14ac:dyDescent="0.35"/>
    <row r="16" spans="2:9" ht="14.4" customHeight="1" x14ac:dyDescent="0.3">
      <c r="B16" s="60" t="s">
        <v>0</v>
      </c>
      <c r="C16" s="62" t="s">
        <v>1</v>
      </c>
      <c r="D16" s="63"/>
      <c r="E16" s="63"/>
      <c r="F16" s="63"/>
      <c r="G16" s="63"/>
      <c r="H16" s="63"/>
      <c r="I16" s="64"/>
    </row>
    <row r="17" spans="2:13" ht="14.4" customHeight="1" x14ac:dyDescent="0.3">
      <c r="B17" s="61"/>
      <c r="C17" s="65" t="s">
        <v>2</v>
      </c>
      <c r="D17" s="66"/>
      <c r="E17" s="66"/>
      <c r="F17" s="67"/>
      <c r="G17" s="65" t="s">
        <v>3</v>
      </c>
      <c r="H17" s="67"/>
      <c r="I17" s="68" t="s">
        <v>4</v>
      </c>
    </row>
    <row r="18" spans="2:13" ht="14.4" customHeight="1" thickBot="1" x14ac:dyDescent="0.35">
      <c r="B18" s="61"/>
      <c r="C18" s="19" t="s">
        <v>5</v>
      </c>
      <c r="D18" s="20" t="s">
        <v>8</v>
      </c>
      <c r="E18" s="20" t="s">
        <v>9</v>
      </c>
      <c r="F18" s="21" t="s">
        <v>10</v>
      </c>
      <c r="G18" s="19" t="s">
        <v>6</v>
      </c>
      <c r="H18" s="21" t="s">
        <v>7</v>
      </c>
      <c r="I18" s="69"/>
    </row>
    <row r="19" spans="2:13" ht="14.4" customHeight="1" x14ac:dyDescent="0.3">
      <c r="B19" s="3" t="s">
        <v>11</v>
      </c>
      <c r="C19" s="8">
        <v>25.55</v>
      </c>
      <c r="D19" s="8">
        <v>29.9</v>
      </c>
      <c r="E19" s="8">
        <v>30</v>
      </c>
      <c r="F19" s="8">
        <v>22</v>
      </c>
      <c r="G19" s="8">
        <v>14.3</v>
      </c>
      <c r="H19" s="8">
        <v>14.3</v>
      </c>
      <c r="I19" s="9">
        <v>0.9</v>
      </c>
    </row>
    <row r="20" spans="2:13" ht="14.4" customHeight="1" x14ac:dyDescent="0.3">
      <c r="B20" s="22" t="s">
        <v>12</v>
      </c>
      <c r="C20" s="18">
        <v>0.3</v>
      </c>
      <c r="D20" s="18">
        <v>0.3</v>
      </c>
      <c r="E20" s="18">
        <v>0.3</v>
      </c>
      <c r="F20" s="18">
        <v>0.15</v>
      </c>
      <c r="G20" s="18">
        <v>0.3</v>
      </c>
      <c r="H20" s="18">
        <v>0.3</v>
      </c>
      <c r="I20" s="10">
        <v>0.1</v>
      </c>
    </row>
    <row r="21" spans="2:13" ht="14.4" customHeight="1" thickBot="1" x14ac:dyDescent="0.35">
      <c r="B21" s="23" t="s">
        <v>13</v>
      </c>
      <c r="C21" s="11">
        <v>-0.3</v>
      </c>
      <c r="D21" s="11">
        <v>-0.3</v>
      </c>
      <c r="E21" s="11">
        <v>-0.3</v>
      </c>
      <c r="F21" s="11">
        <v>-0.15</v>
      </c>
      <c r="G21" s="11">
        <v>-0.3</v>
      </c>
      <c r="H21" s="11">
        <v>-0.3</v>
      </c>
      <c r="I21" s="12">
        <v>-0.1</v>
      </c>
      <c r="M21" s="17"/>
    </row>
    <row r="22" spans="2:13" ht="14.4" customHeight="1" x14ac:dyDescent="0.3">
      <c r="B22" s="24" t="s">
        <v>14</v>
      </c>
      <c r="C22" s="8">
        <f t="shared" ref="C22:I22" si="0">IF(COUNTA(C19,C20)&lt;2,"",C19+C20)</f>
        <v>25.85</v>
      </c>
      <c r="D22" s="8">
        <f t="shared" si="0"/>
        <v>30.2</v>
      </c>
      <c r="E22" s="8">
        <f t="shared" si="0"/>
        <v>30.3</v>
      </c>
      <c r="F22" s="8">
        <f t="shared" si="0"/>
        <v>22.15</v>
      </c>
      <c r="G22" s="8">
        <f t="shared" si="0"/>
        <v>14.600000000000001</v>
      </c>
      <c r="H22" s="8">
        <f t="shared" si="0"/>
        <v>14.600000000000001</v>
      </c>
      <c r="I22" s="9">
        <f t="shared" si="0"/>
        <v>1</v>
      </c>
    </row>
    <row r="23" spans="2:13" ht="14.4" customHeight="1" thickBot="1" x14ac:dyDescent="0.35">
      <c r="B23" s="25" t="s">
        <v>15</v>
      </c>
      <c r="C23" s="11">
        <f t="shared" ref="C23:I23" si="1">IF(COUNTA(C19,C21)&lt;2,"",C19+C21)</f>
        <v>25.25</v>
      </c>
      <c r="D23" s="11">
        <f t="shared" si="1"/>
        <v>29.599999999999998</v>
      </c>
      <c r="E23" s="11">
        <f t="shared" si="1"/>
        <v>29.7</v>
      </c>
      <c r="F23" s="11">
        <f t="shared" si="1"/>
        <v>21.85</v>
      </c>
      <c r="G23" s="11">
        <f t="shared" si="1"/>
        <v>14</v>
      </c>
      <c r="H23" s="11">
        <f t="shared" si="1"/>
        <v>14</v>
      </c>
      <c r="I23" s="12">
        <f t="shared" si="1"/>
        <v>0.8</v>
      </c>
    </row>
    <row r="24" spans="2:13" ht="14.4" customHeight="1" x14ac:dyDescent="0.3">
      <c r="B24" s="24" t="s">
        <v>16</v>
      </c>
      <c r="C24" s="8" t="str">
        <f t="shared" ref="C24:I24" si="2">IF(COUNTA(C31:C213)=0,"",AVERAGE(C31:C213))</f>
        <v/>
      </c>
      <c r="D24" s="8" t="str">
        <f t="shared" si="2"/>
        <v/>
      </c>
      <c r="E24" s="8" t="str">
        <f t="shared" si="2"/>
        <v/>
      </c>
      <c r="F24" s="8" t="str">
        <f t="shared" si="2"/>
        <v/>
      </c>
      <c r="G24" s="8" t="str">
        <f t="shared" si="2"/>
        <v/>
      </c>
      <c r="H24" s="8" t="str">
        <f t="shared" si="2"/>
        <v/>
      </c>
      <c r="I24" s="9" t="str">
        <f t="shared" si="2"/>
        <v/>
      </c>
    </row>
    <row r="25" spans="2:13" ht="14.4" customHeight="1" x14ac:dyDescent="0.3">
      <c r="B25" s="26" t="s">
        <v>17</v>
      </c>
      <c r="C25" s="15" t="e">
        <f>IF(OR(C20=0,C21=0,C24=0),0,C24-C19)</f>
        <v>#VALUE!</v>
      </c>
      <c r="D25" s="15" t="e">
        <f t="shared" ref="D25:I25" si="3">IF(OR(D20=0,D21=0,D24=0),0,D24-D19)</f>
        <v>#VALUE!</v>
      </c>
      <c r="E25" s="15" t="e">
        <f t="shared" si="3"/>
        <v>#VALUE!</v>
      </c>
      <c r="F25" s="15" t="e">
        <f t="shared" si="3"/>
        <v>#VALUE!</v>
      </c>
      <c r="G25" s="15" t="e">
        <f t="shared" si="3"/>
        <v>#VALUE!</v>
      </c>
      <c r="H25" s="15" t="e">
        <f t="shared" si="3"/>
        <v>#VALUE!</v>
      </c>
      <c r="I25" s="16" t="e">
        <f t="shared" si="3"/>
        <v>#VALUE!</v>
      </c>
    </row>
    <row r="26" spans="2:13" ht="14.4" customHeight="1" x14ac:dyDescent="0.3">
      <c r="B26" s="26" t="s">
        <v>18</v>
      </c>
      <c r="C26" s="15" t="str">
        <f t="shared" ref="C26:I26" si="4">IF(COUNTA(C31:C213)=0,"",STDEV(C31:C213))</f>
        <v/>
      </c>
      <c r="D26" s="15" t="str">
        <f t="shared" si="4"/>
        <v/>
      </c>
      <c r="E26" s="15" t="str">
        <f t="shared" si="4"/>
        <v/>
      </c>
      <c r="F26" s="15" t="str">
        <f t="shared" si="4"/>
        <v/>
      </c>
      <c r="G26" s="15" t="str">
        <f t="shared" si="4"/>
        <v/>
      </c>
      <c r="H26" s="15" t="str">
        <f t="shared" si="4"/>
        <v/>
      </c>
      <c r="I26" s="16" t="str">
        <f t="shared" si="4"/>
        <v/>
      </c>
      <c r="M26" s="17"/>
    </row>
    <row r="27" spans="2:13" ht="14.4" customHeight="1" x14ac:dyDescent="0.3">
      <c r="B27" s="26" t="s">
        <v>7</v>
      </c>
      <c r="C27" s="15" t="str">
        <f t="shared" ref="C27:I27" si="5">IF(COUNTA(C31:C213)=0,"",MAX(C31:C213))</f>
        <v/>
      </c>
      <c r="D27" s="15" t="str">
        <f t="shared" si="5"/>
        <v/>
      </c>
      <c r="E27" s="15" t="str">
        <f t="shared" si="5"/>
        <v/>
      </c>
      <c r="F27" s="15" t="str">
        <f t="shared" si="5"/>
        <v/>
      </c>
      <c r="G27" s="15" t="str">
        <f t="shared" si="5"/>
        <v/>
      </c>
      <c r="H27" s="15" t="str">
        <f t="shared" si="5"/>
        <v/>
      </c>
      <c r="I27" s="16" t="str">
        <f t="shared" si="5"/>
        <v/>
      </c>
      <c r="M27" s="17"/>
    </row>
    <row r="28" spans="2:13" ht="14.4" customHeight="1" thickBot="1" x14ac:dyDescent="0.35">
      <c r="B28" s="25" t="s">
        <v>6</v>
      </c>
      <c r="C28" s="13" t="str">
        <f t="shared" ref="C28:I28" si="6">IF(COUNTA(C31:C213)=0,"",MIN(C31:C213))</f>
        <v/>
      </c>
      <c r="D28" s="13" t="str">
        <f t="shared" si="6"/>
        <v/>
      </c>
      <c r="E28" s="13" t="str">
        <f t="shared" si="6"/>
        <v/>
      </c>
      <c r="F28" s="13" t="str">
        <f t="shared" si="6"/>
        <v/>
      </c>
      <c r="G28" s="13" t="str">
        <f t="shared" si="6"/>
        <v/>
      </c>
      <c r="H28" s="13" t="str">
        <f t="shared" si="6"/>
        <v/>
      </c>
      <c r="I28" s="14" t="str">
        <f t="shared" si="6"/>
        <v/>
      </c>
      <c r="M28" s="17"/>
    </row>
    <row r="29" spans="2:13" ht="14.4" customHeight="1" x14ac:dyDescent="0.3">
      <c r="B29" s="24" t="s">
        <v>19</v>
      </c>
      <c r="C29" s="4">
        <f t="shared" ref="C29:I29" si="7">COUNTIF(C31:C213,"&gt;"&amp;C22)</f>
        <v>0</v>
      </c>
      <c r="D29" s="4">
        <f t="shared" si="7"/>
        <v>0</v>
      </c>
      <c r="E29" s="4">
        <f t="shared" si="7"/>
        <v>0</v>
      </c>
      <c r="F29" s="4">
        <f t="shared" si="7"/>
        <v>0</v>
      </c>
      <c r="G29" s="4">
        <f t="shared" si="7"/>
        <v>0</v>
      </c>
      <c r="H29" s="4">
        <f t="shared" si="7"/>
        <v>0</v>
      </c>
      <c r="I29" s="5">
        <f t="shared" si="7"/>
        <v>0</v>
      </c>
      <c r="M29" s="17"/>
    </row>
    <row r="30" spans="2:13" ht="14.4" customHeight="1" thickBot="1" x14ac:dyDescent="0.35">
      <c r="B30" s="25" t="s">
        <v>20</v>
      </c>
      <c r="C30" s="6">
        <f t="shared" ref="C30:I30" si="8">COUNTIF(C31:C213,"&lt;"&amp;C23)</f>
        <v>0</v>
      </c>
      <c r="D30" s="6">
        <f t="shared" si="8"/>
        <v>0</v>
      </c>
      <c r="E30" s="6">
        <f t="shared" si="8"/>
        <v>0</v>
      </c>
      <c r="F30" s="6">
        <f t="shared" si="8"/>
        <v>0</v>
      </c>
      <c r="G30" s="6">
        <f t="shared" si="8"/>
        <v>0</v>
      </c>
      <c r="H30" s="6">
        <f t="shared" si="8"/>
        <v>0</v>
      </c>
      <c r="I30" s="27">
        <f t="shared" si="8"/>
        <v>0</v>
      </c>
      <c r="M30" s="17"/>
    </row>
    <row r="31" spans="2:13" ht="14.4" customHeight="1" x14ac:dyDescent="0.3">
      <c r="B31" s="7">
        <v>1</v>
      </c>
      <c r="C31" s="30"/>
      <c r="D31" s="31"/>
      <c r="E31" s="31"/>
      <c r="F31" s="31"/>
      <c r="G31" s="31"/>
      <c r="H31" s="31"/>
      <c r="I31" s="31"/>
      <c r="M31" s="17"/>
    </row>
    <row r="32" spans="2:13" ht="14.4" customHeight="1" x14ac:dyDescent="0.3">
      <c r="B32" s="2">
        <v>2</v>
      </c>
      <c r="C32" s="28"/>
      <c r="D32" s="29"/>
      <c r="E32" s="29"/>
      <c r="F32" s="29"/>
      <c r="G32" s="29"/>
      <c r="H32" s="29"/>
      <c r="I32" s="29"/>
      <c r="M32" s="17"/>
    </row>
    <row r="33" spans="2:13" ht="14.4" customHeight="1" x14ac:dyDescent="0.3">
      <c r="B33" s="2">
        <v>3</v>
      </c>
      <c r="C33" s="28"/>
      <c r="D33" s="29"/>
      <c r="E33" s="29"/>
      <c r="F33" s="29"/>
      <c r="G33" s="29"/>
      <c r="H33" s="29"/>
      <c r="I33" s="29"/>
      <c r="M33" s="17"/>
    </row>
    <row r="34" spans="2:13" ht="14.4" customHeight="1" x14ac:dyDescent="0.3">
      <c r="B34" s="2">
        <v>4</v>
      </c>
      <c r="C34" s="28"/>
      <c r="D34" s="29"/>
      <c r="E34" s="29"/>
      <c r="F34" s="29"/>
      <c r="G34" s="29"/>
      <c r="H34" s="29"/>
      <c r="I34" s="29"/>
      <c r="M34" s="17"/>
    </row>
    <row r="35" spans="2:13" ht="14.4" customHeight="1" x14ac:dyDescent="0.3">
      <c r="B35" s="2">
        <v>5</v>
      </c>
      <c r="C35" s="28"/>
      <c r="D35" s="29"/>
      <c r="E35" s="29"/>
      <c r="F35" s="29"/>
      <c r="G35" s="29"/>
      <c r="H35" s="29"/>
      <c r="I35" s="29"/>
      <c r="M35" s="17"/>
    </row>
    <row r="36" spans="2:13" ht="14.4" customHeight="1" x14ac:dyDescent="0.3">
      <c r="B36" s="2">
        <v>6</v>
      </c>
      <c r="C36" s="28"/>
      <c r="D36" s="29"/>
      <c r="E36" s="29"/>
      <c r="F36" s="29"/>
      <c r="G36" s="29"/>
      <c r="H36" s="29"/>
      <c r="I36" s="29"/>
    </row>
    <row r="37" spans="2:13" ht="14.4" customHeight="1" x14ac:dyDescent="0.3">
      <c r="B37" s="2">
        <v>7</v>
      </c>
      <c r="C37" s="28"/>
      <c r="D37" s="29"/>
      <c r="E37" s="29"/>
      <c r="F37" s="29"/>
      <c r="G37" s="29"/>
      <c r="H37" s="29"/>
      <c r="I37" s="29"/>
    </row>
    <row r="38" spans="2:13" ht="14.4" customHeight="1" x14ac:dyDescent="0.3">
      <c r="B38" s="2">
        <v>8</v>
      </c>
      <c r="C38" s="28"/>
      <c r="D38" s="29"/>
      <c r="E38" s="29"/>
      <c r="F38" s="29"/>
      <c r="G38" s="29"/>
      <c r="H38" s="29"/>
      <c r="I38" s="29"/>
    </row>
    <row r="39" spans="2:13" ht="14.4" customHeight="1" x14ac:dyDescent="0.3">
      <c r="B39" s="2">
        <v>9</v>
      </c>
      <c r="C39" s="28"/>
      <c r="D39" s="29"/>
      <c r="E39" s="29"/>
      <c r="F39" s="29"/>
      <c r="G39" s="29"/>
      <c r="H39" s="29"/>
      <c r="I39" s="29"/>
    </row>
    <row r="40" spans="2:13" x14ac:dyDescent="0.3">
      <c r="B40" s="2">
        <v>10</v>
      </c>
      <c r="C40" s="28"/>
      <c r="D40" s="29"/>
      <c r="E40" s="29"/>
      <c r="F40" s="29"/>
      <c r="G40" s="29"/>
      <c r="H40" s="29"/>
      <c r="I40" s="29"/>
    </row>
  </sheetData>
  <mergeCells count="5">
    <mergeCell ref="B16:B18"/>
    <mergeCell ref="C16:I16"/>
    <mergeCell ref="C17:F17"/>
    <mergeCell ref="G17:H17"/>
    <mergeCell ref="I17:I18"/>
  </mergeCells>
  <conditionalFormatting sqref="C25:I25">
    <cfRule type="cellIs" dxfId="5" priority="4" operator="greaterThan">
      <formula>$C$20</formula>
    </cfRule>
    <cfRule type="cellIs" dxfId="4" priority="5" operator="lessThan">
      <formula>$C$21</formula>
    </cfRule>
    <cfRule type="dataBar" priority="6">
      <dataBar showValue="0">
        <cfvo type="formula" val="$C$21"/>
        <cfvo type="formula" val="$C$20"/>
        <color rgb="FF92D050"/>
      </dataBar>
      <extLst>
        <ext xmlns:x14="http://schemas.microsoft.com/office/spreadsheetml/2009/9/main" uri="{B025F937-C7B1-47D3-B67F-A62EFF666E3E}">
          <x14:id>{80773AD9-F52E-494D-9937-558927A91DF1}</x14:id>
        </ext>
      </extLst>
    </cfRule>
  </conditionalFormatting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73AD9-F52E-494D-9937-558927A91DF1}">
            <x14:dataBar minLength="0" maxLength="100" gradient="0">
              <x14:cfvo type="formula">
                <xm:f>$C$21</xm:f>
              </x14:cfvo>
              <x14:cfvo type="formula">
                <xm:f>$C$20</xm:f>
              </x14:cfvo>
              <x14:negativeFillColor rgb="FF00B0F0"/>
              <x14:axisColor rgb="FF000000"/>
            </x14:dataBar>
          </x14:cfRule>
          <xm:sqref>C25:I25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0EA-E9F3-43B8-82AA-D4D5EDA28BA8}">
  <sheetPr codeName="Sheet3"/>
  <dimension ref="B1:S129"/>
  <sheetViews>
    <sheetView tabSelected="1" topLeftCell="A4" zoomScale="70" zoomScaleNormal="70" workbookViewId="0">
      <selection activeCell="X38" sqref="X38"/>
    </sheetView>
  </sheetViews>
  <sheetFormatPr defaultColWidth="8.88671875" defaultRowHeight="14.4" x14ac:dyDescent="0.3"/>
  <cols>
    <col min="1" max="1" width="8.88671875" style="1"/>
    <col min="2" max="2" width="22.6640625" style="1" customWidth="1"/>
    <col min="3" max="4" width="12.6640625" style="1" customWidth="1"/>
    <col min="5" max="16384" width="8.88671875" style="1"/>
  </cols>
  <sheetData>
    <row r="1" spans="2:19" ht="15" thickBot="1" x14ac:dyDescent="0.35"/>
    <row r="2" spans="2:19" x14ac:dyDescent="0.3">
      <c r="E2" s="33"/>
      <c r="F2" s="34"/>
      <c r="G2" s="34"/>
      <c r="H2" s="34"/>
      <c r="I2" s="34"/>
      <c r="J2" s="35"/>
      <c r="K2" s="33"/>
      <c r="L2" s="34"/>
      <c r="M2" s="34"/>
      <c r="N2" s="34"/>
      <c r="O2" s="35"/>
    </row>
    <row r="3" spans="2:19" x14ac:dyDescent="0.3">
      <c r="E3" s="36"/>
      <c r="J3" s="37"/>
      <c r="K3" s="36"/>
      <c r="O3" s="37"/>
    </row>
    <row r="4" spans="2:19" x14ac:dyDescent="0.3">
      <c r="E4" s="36"/>
      <c r="J4" s="37"/>
      <c r="K4" s="36"/>
      <c r="O4" s="37"/>
    </row>
    <row r="5" spans="2:19" x14ac:dyDescent="0.3">
      <c r="E5" s="36"/>
      <c r="J5" s="37"/>
      <c r="K5" s="36"/>
      <c r="O5" s="37"/>
    </row>
    <row r="6" spans="2:19" x14ac:dyDescent="0.3">
      <c r="B6" s="32" t="s">
        <v>21</v>
      </c>
      <c r="C6" s="32" t="s">
        <v>38</v>
      </c>
      <c r="E6" s="36"/>
      <c r="J6" s="37"/>
      <c r="K6" s="36"/>
      <c r="O6" s="37"/>
    </row>
    <row r="7" spans="2:19" x14ac:dyDescent="0.3">
      <c r="B7" s="32" t="s">
        <v>25</v>
      </c>
      <c r="C7" s="32" t="s">
        <v>40</v>
      </c>
      <c r="E7" s="36"/>
      <c r="J7" s="37"/>
      <c r="K7" s="36"/>
      <c r="O7" s="37"/>
    </row>
    <row r="8" spans="2:19" x14ac:dyDescent="0.3">
      <c r="B8" s="32" t="s">
        <v>50</v>
      </c>
      <c r="C8" s="32"/>
      <c r="E8" s="36"/>
      <c r="J8" s="37"/>
      <c r="K8" s="36"/>
      <c r="O8" s="37"/>
    </row>
    <row r="9" spans="2:19" x14ac:dyDescent="0.3">
      <c r="E9" s="36"/>
      <c r="J9" s="37"/>
      <c r="K9" s="36"/>
      <c r="O9" s="37"/>
    </row>
    <row r="10" spans="2:19" x14ac:dyDescent="0.3">
      <c r="B10" s="32" t="s">
        <v>24</v>
      </c>
      <c r="C10" s="32" t="s">
        <v>39</v>
      </c>
      <c r="E10" s="36"/>
      <c r="J10" s="37"/>
      <c r="K10" s="36"/>
      <c r="O10" s="37"/>
      <c r="S10" s="1" t="s">
        <v>53</v>
      </c>
    </row>
    <row r="11" spans="2:19" x14ac:dyDescent="0.3">
      <c r="B11" s="32" t="s">
        <v>22</v>
      </c>
      <c r="C11" s="32" t="s">
        <v>42</v>
      </c>
      <c r="E11" s="36"/>
      <c r="J11" s="37"/>
      <c r="K11" s="36"/>
      <c r="O11" s="37"/>
    </row>
    <row r="12" spans="2:19" x14ac:dyDescent="0.3">
      <c r="B12" s="1" t="s">
        <v>51</v>
      </c>
      <c r="C12" s="1" t="s">
        <v>52</v>
      </c>
      <c r="E12" s="36"/>
      <c r="J12" s="37"/>
      <c r="K12" s="36"/>
      <c r="O12" s="37"/>
    </row>
    <row r="13" spans="2:19" x14ac:dyDescent="0.3">
      <c r="B13" s="32" t="s">
        <v>26</v>
      </c>
      <c r="C13" s="32" t="s">
        <v>41</v>
      </c>
      <c r="E13" s="36"/>
      <c r="J13" s="37"/>
      <c r="K13" s="36"/>
      <c r="O13" s="37"/>
    </row>
    <row r="14" spans="2:19" x14ac:dyDescent="0.3">
      <c r="B14" s="32"/>
      <c r="C14" s="32"/>
      <c r="E14" s="36"/>
      <c r="J14" s="37"/>
      <c r="K14" s="36"/>
      <c r="O14" s="37"/>
    </row>
    <row r="15" spans="2:19" x14ac:dyDescent="0.3">
      <c r="B15" s="32" t="s">
        <v>27</v>
      </c>
      <c r="C15" s="32" t="s">
        <v>31</v>
      </c>
      <c r="E15" s="36"/>
      <c r="J15" s="37"/>
      <c r="K15" s="36"/>
      <c r="O15" s="37"/>
    </row>
    <row r="16" spans="2:19" ht="15" thickBot="1" x14ac:dyDescent="0.35">
      <c r="B16" s="32" t="s">
        <v>28</v>
      </c>
      <c r="C16" s="32" t="s">
        <v>48</v>
      </c>
      <c r="E16" s="38"/>
      <c r="F16" s="39"/>
      <c r="G16" s="39"/>
      <c r="H16" s="39"/>
      <c r="I16" s="39"/>
      <c r="J16" s="40"/>
      <c r="K16" s="38"/>
      <c r="L16" s="39"/>
      <c r="M16" s="39"/>
      <c r="N16" s="39"/>
      <c r="O16" s="40"/>
    </row>
    <row r="17" spans="2:15" ht="14.4" customHeight="1" thickBot="1" x14ac:dyDescent="0.35"/>
    <row r="18" spans="2:15" ht="14.4" customHeight="1" x14ac:dyDescent="0.3">
      <c r="B18" s="70"/>
      <c r="C18" s="33"/>
      <c r="D18" s="34"/>
      <c r="E18" s="34"/>
      <c r="F18" s="34"/>
      <c r="G18" s="34" t="s">
        <v>54</v>
      </c>
      <c r="H18" s="34"/>
      <c r="I18" s="34"/>
      <c r="J18" s="34"/>
      <c r="K18" s="34"/>
      <c r="L18" s="34"/>
      <c r="M18" s="59"/>
      <c r="N18" s="59"/>
      <c r="O18" s="35"/>
    </row>
    <row r="19" spans="2:15" ht="14.4" customHeight="1" thickBot="1" x14ac:dyDescent="0.35">
      <c r="B19" s="71"/>
      <c r="C19" s="43">
        <v>1</v>
      </c>
      <c r="D19" s="44">
        <v>2</v>
      </c>
      <c r="E19" s="44">
        <v>3</v>
      </c>
      <c r="F19" s="44">
        <v>4</v>
      </c>
      <c r="G19" s="44">
        <v>5</v>
      </c>
      <c r="H19" s="44">
        <v>6</v>
      </c>
      <c r="I19" s="44">
        <v>7</v>
      </c>
      <c r="J19" s="44">
        <v>8</v>
      </c>
      <c r="K19" s="44">
        <v>9</v>
      </c>
      <c r="L19" s="44">
        <v>10</v>
      </c>
      <c r="M19" s="44">
        <v>11</v>
      </c>
      <c r="N19" s="44">
        <v>12</v>
      </c>
      <c r="O19" s="45" t="s">
        <v>49</v>
      </c>
    </row>
    <row r="20" spans="2:15" ht="14.4" customHeight="1" x14ac:dyDescent="0.3">
      <c r="B20" s="53" t="s">
        <v>11</v>
      </c>
      <c r="C20" s="47">
        <v>1.05</v>
      </c>
      <c r="D20" s="8">
        <v>1.05</v>
      </c>
      <c r="E20" s="8">
        <v>1.05</v>
      </c>
      <c r="F20" s="8">
        <v>1.05</v>
      </c>
      <c r="G20" s="8">
        <v>1.05</v>
      </c>
      <c r="H20" s="8">
        <v>1.05</v>
      </c>
      <c r="I20" s="8">
        <v>1.05</v>
      </c>
      <c r="J20" s="8">
        <v>1.05</v>
      </c>
      <c r="K20" s="8">
        <v>1.05</v>
      </c>
      <c r="L20" s="8">
        <v>1.05</v>
      </c>
      <c r="M20" s="8">
        <v>1.05</v>
      </c>
      <c r="N20" s="8">
        <v>1.05</v>
      </c>
      <c r="O20" s="9">
        <v>1.05</v>
      </c>
    </row>
    <row r="21" spans="2:15" ht="14.4" customHeight="1" x14ac:dyDescent="0.3">
      <c r="B21" s="54" t="s">
        <v>12</v>
      </c>
      <c r="C21" s="48">
        <v>0.1</v>
      </c>
      <c r="D21" s="18">
        <v>0.1</v>
      </c>
      <c r="E21" s="18">
        <v>0.1</v>
      </c>
      <c r="F21" s="18">
        <v>0.1</v>
      </c>
      <c r="G21" s="18">
        <v>0.1</v>
      </c>
      <c r="H21" s="18">
        <v>0.1</v>
      </c>
      <c r="I21" s="18">
        <v>0.1</v>
      </c>
      <c r="J21" s="18">
        <v>0.1</v>
      </c>
      <c r="K21" s="18">
        <v>0.1</v>
      </c>
      <c r="L21" s="18">
        <v>0.1</v>
      </c>
      <c r="M21" s="18">
        <v>0.1</v>
      </c>
      <c r="N21" s="18">
        <v>0.1</v>
      </c>
      <c r="O21" s="10">
        <v>0.1</v>
      </c>
    </row>
    <row r="22" spans="2:15" ht="14.4" customHeight="1" thickBot="1" x14ac:dyDescent="0.35">
      <c r="B22" s="55" t="s">
        <v>13</v>
      </c>
      <c r="C22" s="49">
        <v>-0.1</v>
      </c>
      <c r="D22" s="11">
        <v>-0.1</v>
      </c>
      <c r="E22" s="11">
        <v>-0.1</v>
      </c>
      <c r="F22" s="11">
        <v>-0.1</v>
      </c>
      <c r="G22" s="11">
        <v>-0.1</v>
      </c>
      <c r="H22" s="11">
        <v>-0.1</v>
      </c>
      <c r="I22" s="11">
        <v>-0.1</v>
      </c>
      <c r="J22" s="11">
        <v>-0.1</v>
      </c>
      <c r="K22" s="11">
        <v>-0.1</v>
      </c>
      <c r="L22" s="11">
        <v>-0.1</v>
      </c>
      <c r="M22" s="11">
        <v>-0.1</v>
      </c>
      <c r="N22" s="11">
        <v>-0.1</v>
      </c>
      <c r="O22" s="12">
        <v>-0.1</v>
      </c>
    </row>
    <row r="23" spans="2:15" ht="14.4" customHeight="1" x14ac:dyDescent="0.3">
      <c r="B23" s="56" t="s">
        <v>14</v>
      </c>
      <c r="C23" s="47">
        <f t="shared" ref="C23:N23" si="0">IF(COUNTA(C20,C21)&lt;2,"",C20+C21)</f>
        <v>1.1500000000000001</v>
      </c>
      <c r="D23" s="8">
        <f t="shared" si="0"/>
        <v>1.1500000000000001</v>
      </c>
      <c r="E23" s="8">
        <f t="shared" si="0"/>
        <v>1.1500000000000001</v>
      </c>
      <c r="F23" s="8">
        <f t="shared" si="0"/>
        <v>1.1500000000000001</v>
      </c>
      <c r="G23" s="8">
        <f t="shared" si="0"/>
        <v>1.1500000000000001</v>
      </c>
      <c r="H23" s="8">
        <f t="shared" si="0"/>
        <v>1.1500000000000001</v>
      </c>
      <c r="I23" s="8">
        <f t="shared" si="0"/>
        <v>1.1500000000000001</v>
      </c>
      <c r="J23" s="8">
        <f t="shared" si="0"/>
        <v>1.1500000000000001</v>
      </c>
      <c r="K23" s="8">
        <f t="shared" si="0"/>
        <v>1.1500000000000001</v>
      </c>
      <c r="L23" s="8">
        <f t="shared" si="0"/>
        <v>1.1500000000000001</v>
      </c>
      <c r="M23" s="8">
        <f t="shared" si="0"/>
        <v>1.1500000000000001</v>
      </c>
      <c r="N23" s="8">
        <f t="shared" si="0"/>
        <v>1.1500000000000001</v>
      </c>
      <c r="O23" s="9">
        <f t="shared" ref="O23" si="1">IF(COUNTA(O20,O21)&lt;2,"",O20+O21)</f>
        <v>1.1500000000000001</v>
      </c>
    </row>
    <row r="24" spans="2:15" ht="14.4" customHeight="1" thickBot="1" x14ac:dyDescent="0.35">
      <c r="B24" s="57" t="s">
        <v>15</v>
      </c>
      <c r="C24" s="49">
        <f t="shared" ref="C24:N24" si="2">IF(COUNTA(C20,C22)&lt;2,"",C20+C22)</f>
        <v>0.95000000000000007</v>
      </c>
      <c r="D24" s="11">
        <f t="shared" si="2"/>
        <v>0.95000000000000007</v>
      </c>
      <c r="E24" s="11">
        <f t="shared" si="2"/>
        <v>0.95000000000000007</v>
      </c>
      <c r="F24" s="11">
        <f t="shared" si="2"/>
        <v>0.95000000000000007</v>
      </c>
      <c r="G24" s="11">
        <f t="shared" si="2"/>
        <v>0.95000000000000007</v>
      </c>
      <c r="H24" s="11">
        <f t="shared" si="2"/>
        <v>0.95000000000000007</v>
      </c>
      <c r="I24" s="11">
        <f t="shared" si="2"/>
        <v>0.95000000000000007</v>
      </c>
      <c r="J24" s="11">
        <f t="shared" si="2"/>
        <v>0.95000000000000007</v>
      </c>
      <c r="K24" s="11">
        <f t="shared" si="2"/>
        <v>0.95000000000000007</v>
      </c>
      <c r="L24" s="11">
        <f t="shared" si="2"/>
        <v>0.95000000000000007</v>
      </c>
      <c r="M24" s="11">
        <f t="shared" si="2"/>
        <v>0.95000000000000007</v>
      </c>
      <c r="N24" s="11">
        <f t="shared" si="2"/>
        <v>0.95000000000000007</v>
      </c>
      <c r="O24" s="12">
        <f t="shared" ref="O24" si="3">IF(COUNTA(O20,O22)&lt;2,"",O20+O22)</f>
        <v>0.95000000000000007</v>
      </c>
    </row>
    <row r="25" spans="2:15" ht="14.4" customHeight="1" x14ac:dyDescent="0.3">
      <c r="B25" s="56" t="s">
        <v>16</v>
      </c>
      <c r="C25" s="47">
        <f>IF(COUNTA(C32:C161)=0,"",AVERAGE(C32:C161))</f>
        <v>1.0911530612244895</v>
      </c>
      <c r="D25" s="8">
        <f>IF(COUNTA(D32:D161)=0,"",AVERAGE(D32:D161))</f>
        <v>1.0864795918367347</v>
      </c>
      <c r="E25" s="8">
        <f>IF(COUNTA(E32:E161)=0,"",AVERAGE(E32:E161))</f>
        <v>1.0780714285714286</v>
      </c>
      <c r="F25" s="8">
        <f>IF(COUNTA(F32:F161)=0,"",AVERAGE(F32:F161))</f>
        <v>1.0804693877551019</v>
      </c>
      <c r="G25" s="8">
        <f>IF(COUNTA(G32:G161)=0,"",AVERAGE(G32:G161))</f>
        <v>1.1010510204081627</v>
      </c>
      <c r="H25" s="8">
        <f>IF(COUNTA(H32:H161)=0,"",AVERAGE(H32:H161))</f>
        <v>1.1177551020408163</v>
      </c>
      <c r="I25" s="8">
        <f>IF(COUNTA(I32:I161)=0,"",AVERAGE(I32:I161))</f>
        <v>1.1009591836734689</v>
      </c>
      <c r="J25" s="8">
        <f>IF(COUNTA(J32:J161)=0,"",AVERAGE(J32:J161))</f>
        <v>1.0751428571428565</v>
      </c>
      <c r="K25" s="8">
        <f>IF(COUNTA(K32:K161)=0,"",AVERAGE(K32:K161))</f>
        <v>1.0704693877551019</v>
      </c>
      <c r="L25" s="8">
        <f>IF(COUNTA(L32:L161)=0,"",AVERAGE(L32:L161))</f>
        <v>1.0819081632653058</v>
      </c>
      <c r="M25" s="8">
        <f>IF(COUNTA(M32:M161)=0,"",AVERAGE(M32:M161))</f>
        <v>1.0929693877551014</v>
      </c>
      <c r="N25" s="8">
        <f>IF(COUNTA(N32:N161)=0,"",AVERAGE(N32:N161))</f>
        <v>1.0940408163265298</v>
      </c>
      <c r="O25" s="9">
        <f>IF(COUNTA(O32:O161)=0,"",AVERAGE(O32:O161))</f>
        <v>1.0892057823129253</v>
      </c>
    </row>
    <row r="26" spans="2:15" ht="14.4" customHeight="1" x14ac:dyDescent="0.3">
      <c r="B26" s="58" t="s">
        <v>17</v>
      </c>
      <c r="C26" s="50">
        <f t="shared" ref="C26" si="4">IF(OR(C21=0,C22=0,C25=0),0,C25-C20)</f>
        <v>4.1153061224489473E-2</v>
      </c>
      <c r="D26" s="15">
        <f t="shared" ref="D26" si="5">IF(OR(D21=0,D22=0,D25=0),0,D25-D20)</f>
        <v>3.6479591836734659E-2</v>
      </c>
      <c r="E26" s="15">
        <f t="shared" ref="E26" si="6">IF(OR(E21=0,E22=0,E25=0),0,E25-E20)</f>
        <v>2.8071428571428525E-2</v>
      </c>
      <c r="F26" s="15">
        <f t="shared" ref="F26" si="7">IF(OR(F21=0,F22=0,F25=0),0,F25-F20)</f>
        <v>3.0469387755101884E-2</v>
      </c>
      <c r="G26" s="15">
        <f t="shared" ref="G26" si="8">IF(OR(G21=0,G22=0,G25=0),0,G25-G20)</f>
        <v>5.1051020408162673E-2</v>
      </c>
      <c r="H26" s="15">
        <f t="shared" ref="H26" si="9">IF(OR(H21=0,H22=0,H25=0),0,H25-H20)</f>
        <v>6.7755102040816251E-2</v>
      </c>
      <c r="I26" s="15">
        <f t="shared" ref="I26" si="10">IF(OR(I21=0,I22=0,I25=0),0,I25-I20)</f>
        <v>5.0959183673468855E-2</v>
      </c>
      <c r="J26" s="15">
        <f t="shared" ref="J26" si="11">IF(OR(J21=0,J22=0,J25=0),0,J25-J20)</f>
        <v>2.5142857142856467E-2</v>
      </c>
      <c r="K26" s="15">
        <f t="shared" ref="K26" si="12">IF(OR(K21=0,K22=0,K25=0),0,K25-K20)</f>
        <v>2.0469387755101875E-2</v>
      </c>
      <c r="L26" s="15">
        <f t="shared" ref="L26" si="13">IF(OR(L21=0,L22=0,L25=0),0,L25-L20)</f>
        <v>3.1908163265305767E-2</v>
      </c>
      <c r="M26" s="15">
        <f t="shared" ref="M26" si="14">IF(OR(M21=0,M22=0,M25=0),0,M25-M20)</f>
        <v>4.2969387755101396E-2</v>
      </c>
      <c r="N26" s="15">
        <f t="shared" ref="N26:O26" si="15">IF(OR(N21=0,N22=0,N25=0),0,N25-N20)</f>
        <v>4.4040816326529786E-2</v>
      </c>
      <c r="O26" s="16">
        <f t="shared" si="15"/>
        <v>3.9205782312925264E-2</v>
      </c>
    </row>
    <row r="27" spans="2:15" ht="14.4" customHeight="1" x14ac:dyDescent="0.3">
      <c r="B27" s="58" t="s">
        <v>18</v>
      </c>
      <c r="C27" s="50">
        <f>IF(COUNTA(C32:C161)=0,"",STDEV(C32:C161))</f>
        <v>2.4682876088000655E-2</v>
      </c>
      <c r="D27" s="15">
        <f>IF(COUNTA(D32:D161)=0,"",STDEV(D32:D161))</f>
        <v>2.8989592726177165E-2</v>
      </c>
      <c r="E27" s="15">
        <f>IF(COUNTA(E32:E161)=0,"",STDEV(E32:E161))</f>
        <v>3.0629225986565218E-2</v>
      </c>
      <c r="F27" s="15">
        <f>IF(COUNTA(F32:F161)=0,"",STDEV(F32:F161))</f>
        <v>2.5901559910686066E-2</v>
      </c>
      <c r="G27" s="15">
        <f>IF(COUNTA(G32:G161)=0,"",STDEV(G32:G161))</f>
        <v>2.4576567688764102E-2</v>
      </c>
      <c r="H27" s="15">
        <f>IF(COUNTA(H32:H161)=0,"",STDEV(H32:H161))</f>
        <v>3.0157340398091922E-2</v>
      </c>
      <c r="I27" s="15">
        <f>IF(COUNTA(I32:I161)=0,"",STDEV(I32:I161))</f>
        <v>3.0449525030523422E-2</v>
      </c>
      <c r="J27" s="15">
        <f>IF(COUNTA(J32:J161)=0,"",STDEV(J32:J161))</f>
        <v>2.765621050291316E-2</v>
      </c>
      <c r="K27" s="15">
        <f>IF(COUNTA(K32:K161)=0,"",STDEV(K32:K161))</f>
        <v>3.0025832205307693E-2</v>
      </c>
      <c r="L27" s="15">
        <f>IF(COUNTA(L32:L161)=0,"",STDEV(L32:L161))</f>
        <v>2.8057043048633337E-2</v>
      </c>
      <c r="M27" s="15">
        <f>IF(COUNTA(M32:M161)=0,"",STDEV(M32:M161))</f>
        <v>2.5528821020839879E-2</v>
      </c>
      <c r="N27" s="15">
        <f>IF(COUNTA(N32:N161)=0,"",STDEV(N32:N161))</f>
        <v>2.0169855208219893E-2</v>
      </c>
      <c r="O27" s="16">
        <f>IF(COUNTA(O32:O161)=0,"",STDEV(O32:O161))</f>
        <v>1.5323161705807282E-2</v>
      </c>
    </row>
    <row r="28" spans="2:15" ht="14.4" customHeight="1" x14ac:dyDescent="0.3">
      <c r="B28" s="58" t="s">
        <v>7</v>
      </c>
      <c r="C28" s="50">
        <f>IF(COUNTA(C32:C161)=0,"",MAX(C32:C161))</f>
        <v>1.1419999999999999</v>
      </c>
      <c r="D28" s="15">
        <f>IF(COUNTA(D32:D161)=0,"",MAX(D32:D161))</f>
        <v>1.1479999999999999</v>
      </c>
      <c r="E28" s="15">
        <f>IF(COUNTA(E32:E161)=0,"",MAX(E32:E161))</f>
        <v>1.1439999999999999</v>
      </c>
      <c r="F28" s="15">
        <f>IF(COUNTA(F32:F161)=0,"",MAX(F32:F161))</f>
        <v>1.139</v>
      </c>
      <c r="G28" s="15">
        <f>IF(COUNTA(G32:G161)=0,"",MAX(G32:G161))</f>
        <v>1.1599999999999999</v>
      </c>
      <c r="H28" s="15">
        <f>IF(COUNTA(H32:H161)=0,"",MAX(H32:H161))</f>
        <v>1.2210000000000001</v>
      </c>
      <c r="I28" s="15">
        <f>IF(COUNTA(I32:I161)=0,"",MAX(I32:I161))</f>
        <v>1.2</v>
      </c>
      <c r="J28" s="15">
        <f>IF(COUNTA(J32:J161)=0,"",MAX(J32:J161))</f>
        <v>1.1240000000000001</v>
      </c>
      <c r="K28" s="15">
        <f>IF(COUNTA(K32:K161)=0,"",MAX(K32:K161))</f>
        <v>1.1259999999999999</v>
      </c>
      <c r="L28" s="15">
        <f>IF(COUNTA(L32:L161)=0,"",MAX(L32:L161))</f>
        <v>1.145</v>
      </c>
      <c r="M28" s="15">
        <f>IF(COUNTA(M32:M161)=0,"",MAX(M32:M161))</f>
        <v>1.1479999999999999</v>
      </c>
      <c r="N28" s="15">
        <f>IF(COUNTA(N32:N161)=0,"",MAX(N32:N161))</f>
        <v>1.133</v>
      </c>
      <c r="O28" s="16">
        <f>IF(COUNTA(O32:O161)=0,"",MAX(O32:O161))</f>
        <v>1.1209166666666668</v>
      </c>
    </row>
    <row r="29" spans="2:15" ht="14.4" customHeight="1" thickBot="1" x14ac:dyDescent="0.35">
      <c r="B29" s="57" t="s">
        <v>6</v>
      </c>
      <c r="C29" s="51">
        <f>IF(COUNTA(C32:C161)=0,"",MIN(C32:C161))</f>
        <v>1.0449999999999999</v>
      </c>
      <c r="D29" s="13">
        <f>IF(COUNTA(D32:D161)=0,"",MIN(D32:D161))</f>
        <v>1.03</v>
      </c>
      <c r="E29" s="13">
        <f>IF(COUNTA(E32:E161)=0,"",MIN(E32:E161))</f>
        <v>1.0209999999999999</v>
      </c>
      <c r="F29" s="13">
        <f>IF(COUNTA(F32:F161)=0,"",MIN(F32:F161))</f>
        <v>1.0329999999999999</v>
      </c>
      <c r="G29" s="13">
        <f>IF(COUNTA(G32:G161)=0,"",MIN(G32:G161))</f>
        <v>1.0629999999999999</v>
      </c>
      <c r="H29" s="13">
        <f>IF(COUNTA(H32:H161)=0,"",MIN(H32:H161))</f>
        <v>1.0660000000000001</v>
      </c>
      <c r="I29" s="13">
        <f>IF(COUNTA(I32:I161)=0,"",MIN(I32:I161))</f>
        <v>1.044</v>
      </c>
      <c r="J29" s="13">
        <f>IF(COUNTA(J32:J161)=0,"",MIN(J32:J161))</f>
        <v>1.008</v>
      </c>
      <c r="K29" s="13">
        <f>IF(COUNTA(K32:K161)=0,"",MIN(K32:K161))</f>
        <v>1.0029999999999999</v>
      </c>
      <c r="L29" s="13">
        <f>IF(COUNTA(L32:L161)=0,"",MIN(L32:L161))</f>
        <v>1.0229999999999999</v>
      </c>
      <c r="M29" s="13">
        <f>IF(COUNTA(M32:M161)=0,"",MIN(M32:M161))</f>
        <v>1.048</v>
      </c>
      <c r="N29" s="13">
        <f>IF(COUNTA(N32:N161)=0,"",MIN(N32:N161))</f>
        <v>1.052</v>
      </c>
      <c r="O29" s="14">
        <f>IF(COUNTA(O32:O161)=0,"",MIN(O32:O161))</f>
        <v>1.0474166666666667</v>
      </c>
    </row>
    <row r="30" spans="2:15" ht="14.4" customHeight="1" x14ac:dyDescent="0.3">
      <c r="B30" s="56" t="s">
        <v>19</v>
      </c>
      <c r="C30" s="52">
        <f>COUNTIF(C32:C161,"&gt;"&amp;C23)</f>
        <v>0</v>
      </c>
      <c r="D30" s="4">
        <f>COUNTIF(D32:D161,"&gt;"&amp;D23)</f>
        <v>0</v>
      </c>
      <c r="E30" s="4">
        <f>COUNTIF(E32:E161,"&gt;"&amp;E23)</f>
        <v>0</v>
      </c>
      <c r="F30" s="4">
        <f>COUNTIF(F32:F161,"&gt;"&amp;F23)</f>
        <v>0</v>
      </c>
      <c r="G30" s="4">
        <f>COUNTIF(G32:G161,"&gt;"&amp;G23)</f>
        <v>4</v>
      </c>
      <c r="H30" s="4">
        <f>COUNTIF(H32:H161,"&gt;"&amp;H23)</f>
        <v>11</v>
      </c>
      <c r="I30" s="4">
        <f>COUNTIF(I32:I161,"&gt;"&amp;I23)</f>
        <v>5</v>
      </c>
      <c r="J30" s="4">
        <f>COUNTIF(J32:J161,"&gt;"&amp;J23)</f>
        <v>0</v>
      </c>
      <c r="K30" s="4">
        <f>COUNTIF(K32:K161,"&gt;"&amp;K23)</f>
        <v>0</v>
      </c>
      <c r="L30" s="4">
        <f>COUNTIF(L32:L161,"&gt;"&amp;L23)</f>
        <v>0</v>
      </c>
      <c r="M30" s="4">
        <f>COUNTIF(M32:M161,"&gt;"&amp;M23)</f>
        <v>0</v>
      </c>
      <c r="N30" s="4">
        <f>COUNTIF(N32:N161,"&gt;"&amp;N23)</f>
        <v>0</v>
      </c>
      <c r="O30" s="5">
        <f>COUNTIF(O32:O161,"&gt;"&amp;O23)</f>
        <v>0</v>
      </c>
    </row>
    <row r="31" spans="2:15" ht="14.4" customHeight="1" thickBot="1" x14ac:dyDescent="0.35">
      <c r="B31" s="57" t="s">
        <v>20</v>
      </c>
      <c r="C31" s="46">
        <f>COUNTIF(C32:C161,"&lt;"&amp;C24)</f>
        <v>0</v>
      </c>
      <c r="D31" s="6">
        <f>COUNTIF(D32:D161,"&lt;"&amp;D24)</f>
        <v>0</v>
      </c>
      <c r="E31" s="6">
        <f>COUNTIF(E32:E161,"&lt;"&amp;E24)</f>
        <v>0</v>
      </c>
      <c r="F31" s="6">
        <f>COUNTIF(F32:F161,"&lt;"&amp;F24)</f>
        <v>0</v>
      </c>
      <c r="G31" s="6">
        <f>COUNTIF(G32:G161,"&lt;"&amp;G24)</f>
        <v>0</v>
      </c>
      <c r="H31" s="6">
        <f>COUNTIF(H32:H161,"&lt;"&amp;H24)</f>
        <v>0</v>
      </c>
      <c r="I31" s="6">
        <f>COUNTIF(I32:I161,"&lt;"&amp;I24)</f>
        <v>0</v>
      </c>
      <c r="J31" s="6">
        <f>COUNTIF(J32:J161,"&lt;"&amp;J24)</f>
        <v>0</v>
      </c>
      <c r="K31" s="6">
        <f>COUNTIF(K32:K161,"&lt;"&amp;K24)</f>
        <v>0</v>
      </c>
      <c r="L31" s="6">
        <f>COUNTIF(L32:L161,"&lt;"&amp;L24)</f>
        <v>0</v>
      </c>
      <c r="M31" s="6">
        <f>COUNTIF(M32:M161,"&lt;"&amp;M24)</f>
        <v>0</v>
      </c>
      <c r="N31" s="6">
        <f>COUNTIF(N32:N161,"&lt;"&amp;N24)</f>
        <v>0</v>
      </c>
      <c r="O31" s="27">
        <f>COUNTIF(O32:O161,"&lt;"&amp;O24)</f>
        <v>0</v>
      </c>
    </row>
    <row r="32" spans="2:15" ht="14.4" customHeight="1" x14ac:dyDescent="0.3">
      <c r="B32" s="7">
        <v>1</v>
      </c>
      <c r="C32" s="73">
        <v>1.0920000000000001</v>
      </c>
      <c r="D32" s="73">
        <v>1.0820000000000001</v>
      </c>
      <c r="E32" s="73">
        <v>1.056</v>
      </c>
      <c r="F32" s="73">
        <v>1.0580000000000001</v>
      </c>
      <c r="G32" s="73">
        <v>1.0629999999999999</v>
      </c>
      <c r="H32" s="73">
        <v>1.08</v>
      </c>
      <c r="I32" s="73">
        <v>1.07</v>
      </c>
      <c r="J32" s="73">
        <v>1.0640000000000001</v>
      </c>
      <c r="K32" s="73">
        <v>1.083</v>
      </c>
      <c r="L32" s="73">
        <v>1.1020000000000001</v>
      </c>
      <c r="M32" s="73">
        <v>1.1140000000000001</v>
      </c>
      <c r="N32" s="73">
        <v>1.111</v>
      </c>
      <c r="O32" s="31">
        <f>AVERAGE(C32:N32)</f>
        <v>1.0812500000000003</v>
      </c>
    </row>
    <row r="33" spans="2:15" ht="14.4" customHeight="1" x14ac:dyDescent="0.3">
      <c r="B33" s="2">
        <v>2</v>
      </c>
      <c r="C33" s="72">
        <v>1.0449999999999999</v>
      </c>
      <c r="D33" s="72">
        <v>1.0449999999999999</v>
      </c>
      <c r="E33" s="72">
        <v>1.046</v>
      </c>
      <c r="F33" s="72">
        <v>1.0569999999999999</v>
      </c>
      <c r="G33" s="72">
        <v>1.1140000000000001</v>
      </c>
      <c r="H33" s="72">
        <v>1.155</v>
      </c>
      <c r="I33" s="72">
        <v>1.1559999999999999</v>
      </c>
      <c r="J33" s="72">
        <v>1.1240000000000001</v>
      </c>
      <c r="K33" s="72">
        <v>1.0980000000000001</v>
      </c>
      <c r="L33" s="72">
        <v>1.0840000000000001</v>
      </c>
      <c r="M33" s="72">
        <v>1.0589999999999999</v>
      </c>
      <c r="N33" s="72">
        <v>1.0620000000000001</v>
      </c>
      <c r="O33" s="31">
        <f t="shared" ref="O33:O71" si="16">AVERAGE(C33:N33)</f>
        <v>1.0870833333333332</v>
      </c>
    </row>
    <row r="34" spans="2:15" ht="14.4" customHeight="1" x14ac:dyDescent="0.3">
      <c r="B34" s="2">
        <v>3</v>
      </c>
      <c r="C34" s="72">
        <v>1.077</v>
      </c>
      <c r="D34" s="72">
        <v>1.0609999999999999</v>
      </c>
      <c r="E34" s="72">
        <v>1.075</v>
      </c>
      <c r="F34" s="72">
        <v>1.0760000000000001</v>
      </c>
      <c r="G34" s="72">
        <v>1.1020000000000001</v>
      </c>
      <c r="H34" s="72">
        <v>1.1080000000000001</v>
      </c>
      <c r="I34" s="72">
        <v>1.097</v>
      </c>
      <c r="J34" s="72">
        <v>1.073</v>
      </c>
      <c r="K34" s="72">
        <v>1.0620000000000001</v>
      </c>
      <c r="L34" s="72">
        <v>1.0740000000000001</v>
      </c>
      <c r="M34" s="72">
        <v>1.0920000000000001</v>
      </c>
      <c r="N34" s="72">
        <v>1.0860000000000001</v>
      </c>
      <c r="O34" s="31">
        <f t="shared" si="16"/>
        <v>1.0819166666666666</v>
      </c>
    </row>
    <row r="35" spans="2:15" ht="14.4" customHeight="1" x14ac:dyDescent="0.3">
      <c r="B35" s="2">
        <v>4</v>
      </c>
      <c r="C35" s="72">
        <v>1.1080000000000001</v>
      </c>
      <c r="D35" s="72">
        <v>1.1220000000000001</v>
      </c>
      <c r="E35" s="72">
        <v>1.117</v>
      </c>
      <c r="F35" s="72">
        <v>1.1299999999999999</v>
      </c>
      <c r="G35" s="72">
        <v>1.1399999999999999</v>
      </c>
      <c r="H35" s="72">
        <v>1.137</v>
      </c>
      <c r="I35" s="72">
        <v>1.107</v>
      </c>
      <c r="J35" s="72">
        <v>1.0780000000000001</v>
      </c>
      <c r="K35" s="72">
        <v>1.048</v>
      </c>
      <c r="L35" s="72">
        <v>1.0680000000000001</v>
      </c>
      <c r="M35" s="72">
        <v>1.089</v>
      </c>
      <c r="N35" s="72">
        <v>1.0880000000000001</v>
      </c>
      <c r="O35" s="31">
        <f t="shared" si="16"/>
        <v>1.1026666666666667</v>
      </c>
    </row>
    <row r="36" spans="2:15" ht="14.4" customHeight="1" x14ac:dyDescent="0.3">
      <c r="B36" s="2">
        <v>5</v>
      </c>
      <c r="C36" s="72">
        <v>1.111</v>
      </c>
      <c r="D36" s="72">
        <v>1.1220000000000001</v>
      </c>
      <c r="E36" s="72">
        <v>1.117</v>
      </c>
      <c r="F36" s="72">
        <v>1.1080000000000001</v>
      </c>
      <c r="G36" s="72">
        <v>1.085</v>
      </c>
      <c r="H36" s="72">
        <v>1.085</v>
      </c>
      <c r="I36" s="72">
        <v>1.071</v>
      </c>
      <c r="J36" s="72">
        <v>1.0620000000000001</v>
      </c>
      <c r="K36" s="72">
        <v>1.0640000000000001</v>
      </c>
      <c r="L36" s="72">
        <v>1.069</v>
      </c>
      <c r="M36" s="72">
        <v>1.079</v>
      </c>
      <c r="N36" s="72">
        <v>1.0880000000000001</v>
      </c>
      <c r="O36" s="31">
        <f t="shared" si="16"/>
        <v>1.0884166666666666</v>
      </c>
    </row>
    <row r="37" spans="2:15" ht="14.4" customHeight="1" x14ac:dyDescent="0.3">
      <c r="B37" s="2">
        <v>6</v>
      </c>
      <c r="C37" s="72">
        <v>1.06</v>
      </c>
      <c r="D37" s="72">
        <v>1.03</v>
      </c>
      <c r="E37" s="72">
        <v>1.032</v>
      </c>
      <c r="F37" s="72">
        <v>1.0329999999999999</v>
      </c>
      <c r="G37" s="72">
        <v>1.075</v>
      </c>
      <c r="H37" s="72">
        <v>1.113</v>
      </c>
      <c r="I37" s="72">
        <v>1.105</v>
      </c>
      <c r="J37" s="72">
        <v>1.103</v>
      </c>
      <c r="K37" s="72">
        <v>1.1080000000000001</v>
      </c>
      <c r="L37" s="72">
        <v>1.117</v>
      </c>
      <c r="M37" s="72">
        <v>1.117</v>
      </c>
      <c r="N37" s="72">
        <v>1.089</v>
      </c>
      <c r="O37" s="31">
        <f t="shared" si="16"/>
        <v>1.0818333333333334</v>
      </c>
    </row>
    <row r="38" spans="2:15" ht="14.4" customHeight="1" x14ac:dyDescent="0.3">
      <c r="B38" s="2">
        <v>7</v>
      </c>
      <c r="C38" s="72">
        <v>1.121</v>
      </c>
      <c r="D38" s="72">
        <v>1.117</v>
      </c>
      <c r="E38" s="72">
        <v>1.103</v>
      </c>
      <c r="F38" s="72">
        <v>1.1040000000000001</v>
      </c>
      <c r="G38" s="72">
        <v>1.1200000000000001</v>
      </c>
      <c r="H38" s="72">
        <v>1.127</v>
      </c>
      <c r="I38" s="72">
        <v>1.115</v>
      </c>
      <c r="J38" s="72">
        <v>1.0960000000000001</v>
      </c>
      <c r="K38" s="72">
        <v>1.117</v>
      </c>
      <c r="L38" s="72">
        <v>1.125</v>
      </c>
      <c r="M38" s="72">
        <v>1.1479999999999999</v>
      </c>
      <c r="N38" s="72">
        <v>1.1319999999999999</v>
      </c>
      <c r="O38" s="31">
        <f t="shared" si="16"/>
        <v>1.1187499999999999</v>
      </c>
    </row>
    <row r="39" spans="2:15" ht="14.4" customHeight="1" x14ac:dyDescent="0.3">
      <c r="B39" s="2">
        <v>8</v>
      </c>
      <c r="C39" s="72">
        <v>1.0880000000000001</v>
      </c>
      <c r="D39" s="72">
        <v>1.0620000000000001</v>
      </c>
      <c r="E39" s="72">
        <v>1.0589999999999999</v>
      </c>
      <c r="F39" s="72">
        <v>1.0649999999999999</v>
      </c>
      <c r="G39" s="72">
        <v>1.0740000000000001</v>
      </c>
      <c r="H39" s="72">
        <v>1.0860000000000001</v>
      </c>
      <c r="I39" s="72">
        <v>1.08</v>
      </c>
      <c r="J39" s="72">
        <v>1.08</v>
      </c>
      <c r="K39" s="72">
        <v>1.0860000000000001</v>
      </c>
      <c r="L39" s="72">
        <v>1.105</v>
      </c>
      <c r="M39" s="72">
        <v>1.1060000000000001</v>
      </c>
      <c r="N39" s="72">
        <v>1.0980000000000001</v>
      </c>
      <c r="O39" s="31">
        <f t="shared" si="16"/>
        <v>1.0824166666666668</v>
      </c>
    </row>
    <row r="40" spans="2:15" ht="14.4" customHeight="1" x14ac:dyDescent="0.3">
      <c r="B40" s="2">
        <v>9</v>
      </c>
      <c r="C40" s="72">
        <v>1.0920000000000001</v>
      </c>
      <c r="D40" s="72">
        <v>1.0960000000000001</v>
      </c>
      <c r="E40" s="72">
        <v>1.0840000000000001</v>
      </c>
      <c r="F40" s="72">
        <v>1.1080000000000001</v>
      </c>
      <c r="G40" s="72">
        <v>1.109</v>
      </c>
      <c r="H40" s="72">
        <v>1.1180000000000001</v>
      </c>
      <c r="I40" s="72">
        <v>1.093</v>
      </c>
      <c r="J40" s="72">
        <v>1.056</v>
      </c>
      <c r="K40" s="72">
        <v>1.04</v>
      </c>
      <c r="L40" s="72">
        <v>1.048</v>
      </c>
      <c r="M40" s="72">
        <v>1.0589999999999999</v>
      </c>
      <c r="N40" s="72">
        <v>1.0880000000000001</v>
      </c>
      <c r="O40" s="31">
        <f t="shared" si="16"/>
        <v>1.0825833333333332</v>
      </c>
    </row>
    <row r="41" spans="2:15" x14ac:dyDescent="0.3">
      <c r="B41" s="2">
        <v>10</v>
      </c>
      <c r="C41" s="72">
        <v>1.069</v>
      </c>
      <c r="D41" s="72">
        <v>1.0489999999999999</v>
      </c>
      <c r="E41" s="72">
        <v>1.046</v>
      </c>
      <c r="F41" s="72">
        <v>1.0489999999999999</v>
      </c>
      <c r="G41" s="72">
        <v>1.0669999999999999</v>
      </c>
      <c r="H41" s="72">
        <v>1.071</v>
      </c>
      <c r="I41" s="72">
        <v>1.0469999999999999</v>
      </c>
      <c r="J41" s="72">
        <v>1.028</v>
      </c>
      <c r="K41" s="72">
        <v>1.0089999999999999</v>
      </c>
      <c r="L41" s="72">
        <v>1.024</v>
      </c>
      <c r="M41" s="72">
        <v>1.048</v>
      </c>
      <c r="N41" s="72">
        <v>1.0620000000000001</v>
      </c>
      <c r="O41" s="31">
        <f t="shared" si="16"/>
        <v>1.0474166666666667</v>
      </c>
    </row>
    <row r="42" spans="2:15" x14ac:dyDescent="0.3">
      <c r="B42" s="41">
        <v>11</v>
      </c>
      <c r="C42" s="72">
        <v>1.046</v>
      </c>
      <c r="D42" s="72">
        <v>1.0720000000000001</v>
      </c>
      <c r="E42" s="72">
        <v>1.0900000000000001</v>
      </c>
      <c r="F42" s="72">
        <v>1.099</v>
      </c>
      <c r="G42" s="72">
        <v>1.1279999999999999</v>
      </c>
      <c r="H42" s="72">
        <v>1.1419999999999999</v>
      </c>
      <c r="I42" s="72">
        <v>1.113</v>
      </c>
      <c r="J42" s="72">
        <v>1.07</v>
      </c>
      <c r="K42" s="72">
        <v>1.0469999999999999</v>
      </c>
      <c r="L42" s="72">
        <v>1.0389999999999999</v>
      </c>
      <c r="M42" s="72">
        <v>1.0509999999999999</v>
      </c>
      <c r="N42" s="72">
        <v>1.052</v>
      </c>
      <c r="O42" s="31">
        <f t="shared" si="16"/>
        <v>1.0790833333333334</v>
      </c>
    </row>
    <row r="43" spans="2:15" x14ac:dyDescent="0.3">
      <c r="B43" s="41">
        <v>12</v>
      </c>
      <c r="C43" s="72">
        <v>1.091</v>
      </c>
      <c r="D43" s="72">
        <v>1.081</v>
      </c>
      <c r="E43" s="72">
        <v>1.0609999999999999</v>
      </c>
      <c r="F43" s="72">
        <v>1.0660000000000001</v>
      </c>
      <c r="G43" s="72">
        <v>1.07</v>
      </c>
      <c r="H43" s="72">
        <v>1.085</v>
      </c>
      <c r="I43" s="72">
        <v>1.077</v>
      </c>
      <c r="J43" s="72">
        <v>1.0680000000000001</v>
      </c>
      <c r="K43" s="72">
        <v>1.0840000000000001</v>
      </c>
      <c r="L43" s="72">
        <v>1.103</v>
      </c>
      <c r="M43" s="72">
        <v>1.1180000000000001</v>
      </c>
      <c r="N43" s="72">
        <v>1.1080000000000001</v>
      </c>
      <c r="O43" s="31">
        <f t="shared" si="16"/>
        <v>1.0843333333333334</v>
      </c>
    </row>
    <row r="44" spans="2:15" x14ac:dyDescent="0.3">
      <c r="B44" s="41">
        <v>13</v>
      </c>
      <c r="C44" s="72">
        <v>1.081</v>
      </c>
      <c r="D44" s="72">
        <v>1.077</v>
      </c>
      <c r="E44" s="72">
        <v>1.071</v>
      </c>
      <c r="F44" s="72">
        <v>1.071</v>
      </c>
      <c r="G44" s="72">
        <v>1.1080000000000001</v>
      </c>
      <c r="H44" s="72">
        <v>1.171</v>
      </c>
      <c r="I44" s="72">
        <v>1.1140000000000001</v>
      </c>
      <c r="J44" s="72">
        <v>1.0760000000000001</v>
      </c>
      <c r="K44" s="72">
        <v>1.0680000000000001</v>
      </c>
      <c r="L44" s="72">
        <v>1.077</v>
      </c>
      <c r="M44" s="72">
        <v>1.071</v>
      </c>
      <c r="N44" s="72">
        <v>1.075</v>
      </c>
      <c r="O44" s="31">
        <f t="shared" si="16"/>
        <v>1.0883333333333332</v>
      </c>
    </row>
    <row r="45" spans="2:15" x14ac:dyDescent="0.3">
      <c r="B45" s="41">
        <v>14</v>
      </c>
      <c r="C45" s="72">
        <v>1.0760000000000001</v>
      </c>
      <c r="D45" s="72">
        <v>1.07</v>
      </c>
      <c r="E45" s="72">
        <v>1.05</v>
      </c>
      <c r="F45" s="72">
        <v>1.073</v>
      </c>
      <c r="G45" s="72">
        <v>1.1000000000000001</v>
      </c>
      <c r="H45" s="72">
        <v>1.1319999999999999</v>
      </c>
      <c r="I45" s="72">
        <v>1.143</v>
      </c>
      <c r="J45" s="72">
        <v>1.119</v>
      </c>
      <c r="K45" s="72">
        <v>1.1080000000000001</v>
      </c>
      <c r="L45" s="72">
        <v>1.1040000000000001</v>
      </c>
      <c r="M45" s="72">
        <v>1.099</v>
      </c>
      <c r="N45" s="72">
        <v>1.0840000000000001</v>
      </c>
      <c r="O45" s="31">
        <f t="shared" si="16"/>
        <v>1.0965</v>
      </c>
    </row>
    <row r="46" spans="2:15" x14ac:dyDescent="0.3">
      <c r="B46" s="41">
        <v>15</v>
      </c>
      <c r="C46" s="72">
        <v>1.105</v>
      </c>
      <c r="D46" s="72">
        <v>1.123</v>
      </c>
      <c r="E46" s="72">
        <v>1.1200000000000001</v>
      </c>
      <c r="F46" s="72">
        <v>1.103</v>
      </c>
      <c r="G46" s="72">
        <v>1.1419999999999999</v>
      </c>
      <c r="H46" s="72">
        <v>1.1619999999999999</v>
      </c>
      <c r="I46" s="72">
        <v>1.1419999999999999</v>
      </c>
      <c r="J46" s="72">
        <v>1.1160000000000001</v>
      </c>
      <c r="K46" s="72">
        <v>1.0720000000000001</v>
      </c>
      <c r="L46" s="72">
        <v>1.0609999999999999</v>
      </c>
      <c r="M46" s="72">
        <v>1.0669999999999999</v>
      </c>
      <c r="N46" s="72">
        <v>1.071</v>
      </c>
      <c r="O46" s="31">
        <f t="shared" si="16"/>
        <v>1.107</v>
      </c>
    </row>
    <row r="47" spans="2:15" x14ac:dyDescent="0.3">
      <c r="B47" s="41">
        <v>16</v>
      </c>
      <c r="C47" s="72">
        <v>1.1100000000000001</v>
      </c>
      <c r="D47" s="72">
        <v>1.0940000000000001</v>
      </c>
      <c r="E47" s="72">
        <v>1.08</v>
      </c>
      <c r="F47" s="72">
        <v>1.0840000000000001</v>
      </c>
      <c r="G47" s="72">
        <v>1.085</v>
      </c>
      <c r="H47" s="72">
        <v>1.0840000000000001</v>
      </c>
      <c r="I47" s="72">
        <v>1.0660000000000001</v>
      </c>
      <c r="J47" s="72">
        <v>1.044</v>
      </c>
      <c r="K47" s="72">
        <v>1.0469999999999999</v>
      </c>
      <c r="L47" s="72">
        <v>1.077</v>
      </c>
      <c r="M47" s="72">
        <v>1.1000000000000001</v>
      </c>
      <c r="N47" s="72">
        <v>1.113</v>
      </c>
      <c r="O47" s="31">
        <f t="shared" si="16"/>
        <v>1.0820000000000001</v>
      </c>
    </row>
    <row r="48" spans="2:15" x14ac:dyDescent="0.3">
      <c r="B48" s="41">
        <v>17</v>
      </c>
      <c r="C48" s="72">
        <v>1.1419999999999999</v>
      </c>
      <c r="D48" s="72">
        <v>1.133</v>
      </c>
      <c r="E48" s="72">
        <v>1.1439999999999999</v>
      </c>
      <c r="F48" s="72">
        <v>1.127</v>
      </c>
      <c r="G48" s="72">
        <v>1.139</v>
      </c>
      <c r="H48" s="72">
        <v>1.1459999999999999</v>
      </c>
      <c r="I48" s="72">
        <v>1.1299999999999999</v>
      </c>
      <c r="J48" s="72">
        <v>1.085</v>
      </c>
      <c r="K48" s="72">
        <v>1.079</v>
      </c>
      <c r="L48" s="72">
        <v>1.0900000000000001</v>
      </c>
      <c r="M48" s="72">
        <v>1.115</v>
      </c>
      <c r="N48" s="72">
        <v>1.121</v>
      </c>
      <c r="O48" s="31">
        <f t="shared" si="16"/>
        <v>1.1209166666666668</v>
      </c>
    </row>
    <row r="49" spans="2:15" x14ac:dyDescent="0.3">
      <c r="B49" s="41">
        <v>18</v>
      </c>
      <c r="C49" s="72">
        <v>1.069</v>
      </c>
      <c r="D49" s="72">
        <v>1.0669999999999999</v>
      </c>
      <c r="E49" s="72">
        <v>1.05</v>
      </c>
      <c r="F49" s="72">
        <v>1.0509999999999999</v>
      </c>
      <c r="G49" s="72">
        <v>1.0880000000000001</v>
      </c>
      <c r="H49" s="72">
        <v>1.1060000000000001</v>
      </c>
      <c r="I49" s="72">
        <v>1.1040000000000001</v>
      </c>
      <c r="J49" s="72">
        <v>1.0860000000000001</v>
      </c>
      <c r="K49" s="72">
        <v>1.0720000000000001</v>
      </c>
      <c r="L49" s="72">
        <v>1.0860000000000001</v>
      </c>
      <c r="M49" s="72">
        <v>1.089</v>
      </c>
      <c r="N49" s="72">
        <v>1.0880000000000001</v>
      </c>
      <c r="O49" s="31">
        <f t="shared" si="16"/>
        <v>1.079666666666667</v>
      </c>
    </row>
    <row r="50" spans="2:15" x14ac:dyDescent="0.3">
      <c r="B50" s="41">
        <v>19</v>
      </c>
      <c r="C50" s="72">
        <v>1.1000000000000001</v>
      </c>
      <c r="D50" s="72">
        <v>1.093</v>
      </c>
      <c r="E50" s="72">
        <v>1.07</v>
      </c>
      <c r="F50" s="72">
        <v>1.085</v>
      </c>
      <c r="G50" s="72">
        <v>1.1120000000000001</v>
      </c>
      <c r="H50" s="72">
        <v>1.1299999999999999</v>
      </c>
      <c r="I50" s="72">
        <v>1.091</v>
      </c>
      <c r="J50" s="72">
        <v>1.05</v>
      </c>
      <c r="K50" s="72">
        <v>1.0629999999999999</v>
      </c>
      <c r="L50" s="72">
        <v>1.069</v>
      </c>
      <c r="M50" s="72">
        <v>1.109</v>
      </c>
      <c r="N50" s="72">
        <v>1.1120000000000001</v>
      </c>
      <c r="O50" s="31">
        <f t="shared" si="16"/>
        <v>1.0903333333333334</v>
      </c>
    </row>
    <row r="51" spans="2:15" x14ac:dyDescent="0.3">
      <c r="B51" s="41">
        <v>20</v>
      </c>
      <c r="C51" s="72">
        <v>1.0860000000000001</v>
      </c>
      <c r="D51" s="72">
        <v>1.0860000000000001</v>
      </c>
      <c r="E51" s="72">
        <v>1.081</v>
      </c>
      <c r="F51" s="72">
        <v>1.0920000000000001</v>
      </c>
      <c r="G51" s="72">
        <v>1.1100000000000001</v>
      </c>
      <c r="H51" s="72">
        <v>1.1100000000000001</v>
      </c>
      <c r="I51" s="72">
        <v>1.0900000000000001</v>
      </c>
      <c r="J51" s="72">
        <v>1.075</v>
      </c>
      <c r="K51" s="72">
        <v>1.0760000000000001</v>
      </c>
      <c r="L51" s="72">
        <v>1.095</v>
      </c>
      <c r="M51" s="72">
        <v>1.095</v>
      </c>
      <c r="N51" s="72">
        <v>1.103</v>
      </c>
      <c r="O51" s="31">
        <f t="shared" si="16"/>
        <v>1.0915833333333336</v>
      </c>
    </row>
    <row r="52" spans="2:15" x14ac:dyDescent="0.3">
      <c r="B52" s="41">
        <v>21</v>
      </c>
      <c r="C52" s="72">
        <v>1.091</v>
      </c>
      <c r="D52" s="72">
        <v>1.099</v>
      </c>
      <c r="E52" s="72">
        <v>1.089</v>
      </c>
      <c r="F52" s="72">
        <v>1.1000000000000001</v>
      </c>
      <c r="G52" s="72">
        <v>1.1080000000000001</v>
      </c>
      <c r="H52" s="72">
        <v>1.117</v>
      </c>
      <c r="I52" s="72">
        <v>1.1060000000000001</v>
      </c>
      <c r="J52" s="72">
        <v>1.0720000000000001</v>
      </c>
      <c r="K52" s="72">
        <v>1.0509999999999999</v>
      </c>
      <c r="L52" s="72">
        <v>1.0509999999999999</v>
      </c>
      <c r="M52" s="72">
        <v>1.0529999999999999</v>
      </c>
      <c r="N52" s="72">
        <v>1.079</v>
      </c>
      <c r="O52" s="31">
        <f t="shared" si="16"/>
        <v>1.0846666666666669</v>
      </c>
    </row>
    <row r="53" spans="2:15" x14ac:dyDescent="0.3">
      <c r="B53" s="41">
        <v>22</v>
      </c>
      <c r="C53" s="72">
        <v>1.1040000000000001</v>
      </c>
      <c r="D53" s="72">
        <v>1.101</v>
      </c>
      <c r="E53" s="72">
        <v>1.0820000000000001</v>
      </c>
      <c r="F53" s="72">
        <v>1.0920000000000001</v>
      </c>
      <c r="G53" s="72">
        <v>1.1160000000000001</v>
      </c>
      <c r="H53" s="72">
        <v>1.131</v>
      </c>
      <c r="I53" s="72">
        <v>1.0820000000000001</v>
      </c>
      <c r="J53" s="72">
        <v>1.036</v>
      </c>
      <c r="K53" s="72">
        <v>1.0589999999999999</v>
      </c>
      <c r="L53" s="72">
        <v>1.07</v>
      </c>
      <c r="M53" s="72">
        <v>1.1080000000000001</v>
      </c>
      <c r="N53" s="72">
        <v>1.1180000000000001</v>
      </c>
      <c r="O53" s="31">
        <f t="shared" si="16"/>
        <v>1.0915833333333333</v>
      </c>
    </row>
    <row r="54" spans="2:15" x14ac:dyDescent="0.3">
      <c r="B54" s="41">
        <v>23</v>
      </c>
      <c r="C54" s="72">
        <v>1.1299999999999999</v>
      </c>
      <c r="D54" s="72">
        <v>1.147</v>
      </c>
      <c r="E54" s="72">
        <v>1.141</v>
      </c>
      <c r="F54" s="72">
        <v>1.139</v>
      </c>
      <c r="G54" s="72">
        <v>1.1599999999999999</v>
      </c>
      <c r="H54" s="72">
        <v>1.129</v>
      </c>
      <c r="I54" s="72">
        <v>1.085</v>
      </c>
      <c r="J54" s="72">
        <v>1.0489999999999999</v>
      </c>
      <c r="K54" s="72">
        <v>1.0389999999999999</v>
      </c>
      <c r="L54" s="72">
        <v>1.07</v>
      </c>
      <c r="M54" s="72">
        <v>1.087</v>
      </c>
      <c r="N54" s="72">
        <v>1.121</v>
      </c>
      <c r="O54" s="31">
        <f t="shared" si="16"/>
        <v>1.1080833333333333</v>
      </c>
    </row>
    <row r="55" spans="2:15" x14ac:dyDescent="0.3">
      <c r="B55" s="41">
        <v>24</v>
      </c>
      <c r="C55" s="72">
        <v>1.099</v>
      </c>
      <c r="D55" s="72">
        <v>1.1020000000000001</v>
      </c>
      <c r="E55" s="72">
        <v>1.087</v>
      </c>
      <c r="F55" s="72">
        <v>1.1060000000000001</v>
      </c>
      <c r="G55" s="72">
        <v>1.117</v>
      </c>
      <c r="H55" s="72">
        <v>1.131</v>
      </c>
      <c r="I55" s="72">
        <v>1.1180000000000001</v>
      </c>
      <c r="J55" s="72">
        <v>1.091</v>
      </c>
      <c r="K55" s="72">
        <v>1.089</v>
      </c>
      <c r="L55" s="72">
        <v>1.083</v>
      </c>
      <c r="M55" s="72">
        <v>1.0900000000000001</v>
      </c>
      <c r="N55" s="72">
        <v>1.093</v>
      </c>
      <c r="O55" s="31">
        <f t="shared" si="16"/>
        <v>1.1005</v>
      </c>
    </row>
    <row r="56" spans="2:15" x14ac:dyDescent="0.3">
      <c r="B56" s="41">
        <v>25</v>
      </c>
      <c r="C56" s="72">
        <v>1.0629999999999999</v>
      </c>
      <c r="D56" s="72">
        <v>1.0589999999999999</v>
      </c>
      <c r="E56" s="72">
        <v>1.04</v>
      </c>
      <c r="F56" s="72">
        <v>1.052</v>
      </c>
      <c r="G56" s="72">
        <v>1.0740000000000001</v>
      </c>
      <c r="H56" s="72">
        <v>1.085</v>
      </c>
      <c r="I56" s="72">
        <v>1.0629999999999999</v>
      </c>
      <c r="J56" s="72">
        <v>1.056</v>
      </c>
      <c r="K56" s="72">
        <v>1.046</v>
      </c>
      <c r="L56" s="72">
        <v>1.0609999999999999</v>
      </c>
      <c r="M56" s="72">
        <v>1.0840000000000001</v>
      </c>
      <c r="N56" s="72">
        <v>1.0680000000000001</v>
      </c>
      <c r="O56" s="31">
        <f t="shared" si="16"/>
        <v>1.0625833333333332</v>
      </c>
    </row>
    <row r="57" spans="2:15" x14ac:dyDescent="0.3">
      <c r="B57" s="41">
        <v>26</v>
      </c>
      <c r="C57" s="72">
        <v>1.1240000000000001</v>
      </c>
      <c r="D57" s="72">
        <v>1.113</v>
      </c>
      <c r="E57" s="72">
        <v>1.081</v>
      </c>
      <c r="F57" s="72">
        <v>1.077</v>
      </c>
      <c r="G57" s="72">
        <v>1.091</v>
      </c>
      <c r="H57" s="72">
        <v>1.105</v>
      </c>
      <c r="I57" s="72">
        <v>1.1020000000000001</v>
      </c>
      <c r="J57" s="72">
        <v>1.089</v>
      </c>
      <c r="K57" s="72">
        <v>1.103</v>
      </c>
      <c r="L57" s="72">
        <v>1.111</v>
      </c>
      <c r="M57" s="72">
        <v>1.127</v>
      </c>
      <c r="N57" s="72">
        <v>1.133</v>
      </c>
      <c r="O57" s="31">
        <f t="shared" si="16"/>
        <v>1.1046666666666667</v>
      </c>
    </row>
    <row r="58" spans="2:15" x14ac:dyDescent="0.3">
      <c r="B58" s="41">
        <v>27</v>
      </c>
      <c r="C58" s="72">
        <v>1.123</v>
      </c>
      <c r="D58" s="72">
        <v>1.1479999999999999</v>
      </c>
      <c r="E58" s="72">
        <v>1.135</v>
      </c>
      <c r="F58" s="72">
        <v>1.1040000000000001</v>
      </c>
      <c r="G58" s="72">
        <v>1.109</v>
      </c>
      <c r="H58" s="72">
        <v>1.0960000000000001</v>
      </c>
      <c r="I58" s="72">
        <v>1.0720000000000001</v>
      </c>
      <c r="J58" s="72">
        <v>1.052</v>
      </c>
      <c r="K58" s="72">
        <v>1.038</v>
      </c>
      <c r="L58" s="72">
        <v>1.0609999999999999</v>
      </c>
      <c r="M58" s="72">
        <v>1.0860000000000001</v>
      </c>
      <c r="N58" s="72">
        <v>1.1060000000000001</v>
      </c>
      <c r="O58" s="31">
        <f t="shared" si="16"/>
        <v>1.0941666666666667</v>
      </c>
    </row>
    <row r="59" spans="2:15" x14ac:dyDescent="0.3">
      <c r="B59" s="41">
        <v>28</v>
      </c>
      <c r="C59" s="72">
        <v>1.101</v>
      </c>
      <c r="D59" s="72">
        <v>1.0680000000000001</v>
      </c>
      <c r="E59" s="72">
        <v>1.0469999999999999</v>
      </c>
      <c r="F59" s="72">
        <v>1.054</v>
      </c>
      <c r="G59" s="72">
        <v>1.0860000000000001</v>
      </c>
      <c r="H59" s="72">
        <v>1.1419999999999999</v>
      </c>
      <c r="I59" s="72">
        <v>1.147</v>
      </c>
      <c r="J59" s="72">
        <v>1.1080000000000001</v>
      </c>
      <c r="K59" s="72">
        <v>1.1259999999999999</v>
      </c>
      <c r="L59" s="72">
        <v>1.145</v>
      </c>
      <c r="M59" s="72">
        <v>1.141</v>
      </c>
      <c r="N59" s="72">
        <v>1.1160000000000001</v>
      </c>
      <c r="O59" s="31">
        <f t="shared" si="16"/>
        <v>1.1067500000000001</v>
      </c>
    </row>
    <row r="60" spans="2:15" x14ac:dyDescent="0.3">
      <c r="B60" s="41">
        <v>29</v>
      </c>
      <c r="C60" s="72">
        <v>1.0760000000000001</v>
      </c>
      <c r="D60" s="72">
        <v>1.0569999999999999</v>
      </c>
      <c r="E60" s="72">
        <v>1.05</v>
      </c>
      <c r="F60" s="72">
        <v>1.05</v>
      </c>
      <c r="G60" s="72">
        <v>1.0629999999999999</v>
      </c>
      <c r="H60" s="72">
        <v>1.0660000000000001</v>
      </c>
      <c r="I60" s="72">
        <v>1.044</v>
      </c>
      <c r="J60" s="72">
        <v>1.0229999999999999</v>
      </c>
      <c r="K60" s="72">
        <v>1.008</v>
      </c>
      <c r="L60" s="72">
        <v>1.0229999999999999</v>
      </c>
      <c r="M60" s="72">
        <v>1.054</v>
      </c>
      <c r="N60" s="72">
        <v>1.0660000000000001</v>
      </c>
      <c r="O60" s="31">
        <f t="shared" si="16"/>
        <v>1.0483333333333331</v>
      </c>
    </row>
    <row r="61" spans="2:15" x14ac:dyDescent="0.3">
      <c r="B61" s="41">
        <v>30</v>
      </c>
      <c r="C61" s="72">
        <v>1.0740000000000001</v>
      </c>
      <c r="D61" s="72">
        <v>1.048</v>
      </c>
      <c r="E61" s="72">
        <v>1.0209999999999999</v>
      </c>
      <c r="F61" s="72">
        <v>1.036</v>
      </c>
      <c r="G61" s="72">
        <v>1.073</v>
      </c>
      <c r="H61" s="72">
        <v>1.107</v>
      </c>
      <c r="I61" s="72">
        <v>1.099</v>
      </c>
      <c r="J61" s="72">
        <v>1.1060000000000001</v>
      </c>
      <c r="K61" s="72">
        <v>1.1180000000000001</v>
      </c>
      <c r="L61" s="72">
        <v>1.1319999999999999</v>
      </c>
      <c r="M61" s="72">
        <v>1.123</v>
      </c>
      <c r="N61" s="72">
        <v>1.1100000000000001</v>
      </c>
      <c r="O61" s="31">
        <f t="shared" si="16"/>
        <v>1.08725</v>
      </c>
    </row>
    <row r="62" spans="2:15" x14ac:dyDescent="0.3">
      <c r="B62" s="41">
        <v>31</v>
      </c>
      <c r="C62" s="72">
        <v>1.08</v>
      </c>
      <c r="D62" s="72">
        <v>1.0740000000000001</v>
      </c>
      <c r="E62" s="72">
        <v>1.048</v>
      </c>
      <c r="F62" s="72">
        <v>1.0549999999999999</v>
      </c>
      <c r="G62" s="72">
        <v>1.157</v>
      </c>
      <c r="H62" s="72">
        <v>1.2210000000000001</v>
      </c>
      <c r="I62" s="72">
        <v>1.2</v>
      </c>
      <c r="J62" s="72">
        <v>1.1180000000000001</v>
      </c>
      <c r="K62" s="72">
        <v>1.101</v>
      </c>
      <c r="L62" s="72">
        <v>1.1160000000000001</v>
      </c>
      <c r="M62" s="72">
        <v>1.115</v>
      </c>
      <c r="N62" s="72">
        <v>1.107</v>
      </c>
      <c r="O62" s="31">
        <f t="shared" si="16"/>
        <v>1.1159999999999999</v>
      </c>
    </row>
    <row r="63" spans="2:15" x14ac:dyDescent="0.3">
      <c r="B63" s="41">
        <v>32</v>
      </c>
      <c r="C63" s="72">
        <v>1.05</v>
      </c>
      <c r="D63" s="72">
        <v>1.071</v>
      </c>
      <c r="E63" s="72">
        <v>1.073</v>
      </c>
      <c r="F63" s="72">
        <v>1.08</v>
      </c>
      <c r="G63" s="72">
        <v>1.0880000000000001</v>
      </c>
      <c r="H63" s="72">
        <v>1.1080000000000001</v>
      </c>
      <c r="I63" s="72">
        <v>1.1140000000000001</v>
      </c>
      <c r="J63" s="72">
        <v>1.101</v>
      </c>
      <c r="K63" s="72">
        <v>1.1020000000000001</v>
      </c>
      <c r="L63" s="72">
        <v>1.1060000000000001</v>
      </c>
      <c r="M63" s="72">
        <v>1.103</v>
      </c>
      <c r="N63" s="72">
        <v>1.077</v>
      </c>
      <c r="O63" s="31">
        <f t="shared" si="16"/>
        <v>1.0894166666666667</v>
      </c>
    </row>
    <row r="64" spans="2:15" x14ac:dyDescent="0.3">
      <c r="B64" s="41">
        <v>33</v>
      </c>
      <c r="C64" s="72">
        <v>1.087</v>
      </c>
      <c r="D64" s="72">
        <v>1.081</v>
      </c>
      <c r="E64" s="72">
        <v>1.0569999999999999</v>
      </c>
      <c r="F64" s="72">
        <v>1.0620000000000001</v>
      </c>
      <c r="G64" s="72">
        <v>1.093</v>
      </c>
      <c r="H64" s="72">
        <v>1.1419999999999999</v>
      </c>
      <c r="I64" s="72">
        <v>1.127</v>
      </c>
      <c r="J64" s="72">
        <v>1.0640000000000001</v>
      </c>
      <c r="K64" s="72">
        <v>1.087</v>
      </c>
      <c r="L64" s="72">
        <v>1.1040000000000001</v>
      </c>
      <c r="M64" s="72">
        <v>1.117</v>
      </c>
      <c r="N64" s="72">
        <v>1.1060000000000001</v>
      </c>
      <c r="O64" s="31">
        <f t="shared" si="16"/>
        <v>1.0939166666666666</v>
      </c>
    </row>
    <row r="65" spans="2:15" x14ac:dyDescent="0.3">
      <c r="B65" s="41">
        <v>34</v>
      </c>
      <c r="C65" s="72">
        <v>1.1160000000000001</v>
      </c>
      <c r="D65" s="72">
        <v>1.085</v>
      </c>
      <c r="E65" s="72">
        <v>1.077</v>
      </c>
      <c r="F65" s="72">
        <v>1.054</v>
      </c>
      <c r="G65" s="72">
        <v>1.079</v>
      </c>
      <c r="H65" s="72">
        <v>1.085</v>
      </c>
      <c r="I65" s="72">
        <v>1.091</v>
      </c>
      <c r="J65" s="72">
        <v>1.0880000000000001</v>
      </c>
      <c r="K65" s="72">
        <v>1.085</v>
      </c>
      <c r="L65" s="72">
        <v>1.109</v>
      </c>
      <c r="M65" s="72">
        <v>1.131</v>
      </c>
      <c r="N65" s="72">
        <v>1.1160000000000001</v>
      </c>
      <c r="O65" s="31">
        <f t="shared" si="16"/>
        <v>1.0930000000000002</v>
      </c>
    </row>
    <row r="66" spans="2:15" x14ac:dyDescent="0.3">
      <c r="B66" s="41">
        <v>35</v>
      </c>
      <c r="C66" s="72">
        <v>1.101</v>
      </c>
      <c r="D66" s="72">
        <v>1.0820000000000001</v>
      </c>
      <c r="E66" s="72">
        <v>1.0860000000000001</v>
      </c>
      <c r="F66" s="72">
        <v>1.08</v>
      </c>
      <c r="G66" s="72">
        <v>1.107</v>
      </c>
      <c r="H66" s="72">
        <v>1.127</v>
      </c>
      <c r="I66" s="72">
        <v>1.115</v>
      </c>
      <c r="J66" s="72">
        <v>1.0820000000000001</v>
      </c>
      <c r="K66" s="72">
        <v>1.06</v>
      </c>
      <c r="L66" s="72">
        <v>1.075</v>
      </c>
      <c r="M66" s="72">
        <v>1.095</v>
      </c>
      <c r="N66" s="72">
        <v>1.091</v>
      </c>
      <c r="O66" s="31">
        <f t="shared" si="16"/>
        <v>1.09175</v>
      </c>
    </row>
    <row r="67" spans="2:15" x14ac:dyDescent="0.3">
      <c r="B67" s="41">
        <v>36</v>
      </c>
      <c r="C67" s="72">
        <v>1.091</v>
      </c>
      <c r="D67" s="72">
        <v>1.079</v>
      </c>
      <c r="E67" s="72">
        <v>1.089</v>
      </c>
      <c r="F67" s="72">
        <v>1.089</v>
      </c>
      <c r="G67" s="72">
        <v>1.099</v>
      </c>
      <c r="H67" s="72">
        <v>1.1180000000000001</v>
      </c>
      <c r="I67" s="72">
        <v>1.099</v>
      </c>
      <c r="J67" s="72">
        <v>1.083</v>
      </c>
      <c r="K67" s="72">
        <v>1.071</v>
      </c>
      <c r="L67" s="72">
        <v>1.0760000000000001</v>
      </c>
      <c r="M67" s="72">
        <v>1.083</v>
      </c>
      <c r="N67" s="72">
        <v>1.083</v>
      </c>
      <c r="O67" s="31">
        <f t="shared" si="16"/>
        <v>1.0883333333333334</v>
      </c>
    </row>
    <row r="68" spans="2:15" x14ac:dyDescent="0.3">
      <c r="B68" s="41">
        <v>37</v>
      </c>
      <c r="C68" s="72">
        <v>1.1359999999999999</v>
      </c>
      <c r="D68" s="72">
        <v>1.141</v>
      </c>
      <c r="E68" s="72">
        <v>1.1279999999999999</v>
      </c>
      <c r="F68" s="72">
        <v>1.1080000000000001</v>
      </c>
      <c r="G68" s="72">
        <v>1.113</v>
      </c>
      <c r="H68" s="72">
        <v>1.1020000000000001</v>
      </c>
      <c r="I68" s="72">
        <v>1.07</v>
      </c>
      <c r="J68" s="72">
        <v>1.0209999999999999</v>
      </c>
      <c r="K68" s="72">
        <v>1.0029999999999999</v>
      </c>
      <c r="L68" s="72">
        <v>1.028</v>
      </c>
      <c r="M68" s="72">
        <v>1.0589999999999999</v>
      </c>
      <c r="N68" s="72">
        <v>1.101</v>
      </c>
      <c r="O68" s="31">
        <f t="shared" si="16"/>
        <v>1.0841666666666665</v>
      </c>
    </row>
    <row r="69" spans="2:15" x14ac:dyDescent="0.3">
      <c r="B69" s="41">
        <v>38</v>
      </c>
      <c r="C69" s="72">
        <v>1.0940000000000001</v>
      </c>
      <c r="D69" s="72">
        <v>1.093</v>
      </c>
      <c r="E69" s="72">
        <v>1.1000000000000001</v>
      </c>
      <c r="F69" s="72">
        <v>1.083</v>
      </c>
      <c r="G69" s="72">
        <v>1.0960000000000001</v>
      </c>
      <c r="H69" s="72">
        <v>1.099</v>
      </c>
      <c r="I69" s="72">
        <v>1.075</v>
      </c>
      <c r="J69" s="72">
        <v>1.0669999999999999</v>
      </c>
      <c r="K69" s="72">
        <v>1.0620000000000001</v>
      </c>
      <c r="L69" s="72">
        <v>1.0880000000000001</v>
      </c>
      <c r="M69" s="72">
        <v>1.095</v>
      </c>
      <c r="N69" s="72">
        <v>1.0980000000000001</v>
      </c>
      <c r="O69" s="31">
        <f t="shared" si="16"/>
        <v>1.0875000000000001</v>
      </c>
    </row>
    <row r="70" spans="2:15" x14ac:dyDescent="0.3">
      <c r="B70" s="41">
        <v>39</v>
      </c>
      <c r="C70" s="72">
        <v>1.048</v>
      </c>
      <c r="D70" s="72">
        <v>1.052</v>
      </c>
      <c r="E70" s="72">
        <v>1.0429999999999999</v>
      </c>
      <c r="F70" s="72">
        <v>1.0649999999999999</v>
      </c>
      <c r="G70" s="72">
        <v>1.099</v>
      </c>
      <c r="H70" s="72">
        <v>1.143</v>
      </c>
      <c r="I70" s="72">
        <v>1.129</v>
      </c>
      <c r="J70" s="72">
        <v>1.101</v>
      </c>
      <c r="K70" s="72">
        <v>1.105</v>
      </c>
      <c r="L70" s="72">
        <v>1.0960000000000001</v>
      </c>
      <c r="M70" s="72">
        <v>1.077</v>
      </c>
      <c r="N70" s="72">
        <v>1.0740000000000001</v>
      </c>
      <c r="O70" s="31">
        <f t="shared" si="16"/>
        <v>1.0860000000000001</v>
      </c>
    </row>
    <row r="71" spans="2:15" x14ac:dyDescent="0.3">
      <c r="B71" s="41">
        <v>40</v>
      </c>
      <c r="C71" s="72">
        <v>1.1180000000000001</v>
      </c>
      <c r="D71" s="72">
        <v>1.1040000000000001</v>
      </c>
      <c r="E71" s="72">
        <v>1.099</v>
      </c>
      <c r="F71" s="72">
        <v>1.087</v>
      </c>
      <c r="G71" s="72">
        <v>1.0880000000000001</v>
      </c>
      <c r="H71" s="72">
        <v>1.1140000000000001</v>
      </c>
      <c r="I71" s="72">
        <v>1.083</v>
      </c>
      <c r="J71" s="72">
        <v>1.008</v>
      </c>
      <c r="K71" s="72">
        <v>1.0229999999999999</v>
      </c>
      <c r="L71" s="72">
        <v>1.0649999999999999</v>
      </c>
      <c r="M71" s="72">
        <v>1.0920000000000001</v>
      </c>
      <c r="N71" s="72">
        <v>1.1060000000000001</v>
      </c>
      <c r="O71" s="31">
        <f t="shared" si="16"/>
        <v>1.0822499999999999</v>
      </c>
    </row>
    <row r="72" spans="2:15" x14ac:dyDescent="0.3">
      <c r="B72" s="41">
        <v>41</v>
      </c>
      <c r="C72" s="72">
        <v>1.0920000000000001</v>
      </c>
      <c r="D72" s="72">
        <v>1.0820000000000001</v>
      </c>
      <c r="E72" s="72">
        <v>1.056</v>
      </c>
      <c r="F72" s="72">
        <v>1.0580000000000001</v>
      </c>
      <c r="G72" s="72">
        <v>1.0629999999999999</v>
      </c>
      <c r="H72" s="72">
        <v>1.08</v>
      </c>
      <c r="I72" s="72">
        <v>1.07</v>
      </c>
      <c r="J72" s="72">
        <v>1.0640000000000001</v>
      </c>
      <c r="K72" s="72">
        <v>1.083</v>
      </c>
      <c r="L72" s="72">
        <v>1.1020000000000001</v>
      </c>
      <c r="M72" s="72">
        <v>1.1140000000000001</v>
      </c>
      <c r="N72" s="72">
        <v>1.111</v>
      </c>
      <c r="O72" s="31">
        <f>AVERAGE(C72:N72)</f>
        <v>1.0812500000000003</v>
      </c>
    </row>
    <row r="73" spans="2:15" x14ac:dyDescent="0.3">
      <c r="B73" s="41">
        <v>42</v>
      </c>
      <c r="C73" s="72">
        <v>1.0449999999999999</v>
      </c>
      <c r="D73" s="72">
        <v>1.0449999999999999</v>
      </c>
      <c r="E73" s="72">
        <v>1.046</v>
      </c>
      <c r="F73" s="72">
        <v>1.0569999999999999</v>
      </c>
      <c r="G73" s="72">
        <v>1.1140000000000001</v>
      </c>
      <c r="H73" s="72">
        <v>1.155</v>
      </c>
      <c r="I73" s="72">
        <v>1.1559999999999999</v>
      </c>
      <c r="J73" s="72">
        <v>1.1240000000000001</v>
      </c>
      <c r="K73" s="72">
        <v>1.0980000000000001</v>
      </c>
      <c r="L73" s="72">
        <v>1.0840000000000001</v>
      </c>
      <c r="M73" s="72">
        <v>1.0589999999999999</v>
      </c>
      <c r="N73" s="72">
        <v>1.0620000000000001</v>
      </c>
      <c r="O73" s="31">
        <f t="shared" ref="O73:O111" si="17">AVERAGE(C73:N73)</f>
        <v>1.0870833333333332</v>
      </c>
    </row>
    <row r="74" spans="2:15" x14ac:dyDescent="0.3">
      <c r="B74" s="41">
        <v>43</v>
      </c>
      <c r="C74" s="72">
        <v>1.077</v>
      </c>
      <c r="D74" s="72">
        <v>1.0609999999999999</v>
      </c>
      <c r="E74" s="72">
        <v>1.075</v>
      </c>
      <c r="F74" s="72">
        <v>1.0760000000000001</v>
      </c>
      <c r="G74" s="72">
        <v>1.1020000000000001</v>
      </c>
      <c r="H74" s="72">
        <v>1.1080000000000001</v>
      </c>
      <c r="I74" s="72">
        <v>1.097</v>
      </c>
      <c r="J74" s="72">
        <v>1.073</v>
      </c>
      <c r="K74" s="72">
        <v>1.0620000000000001</v>
      </c>
      <c r="L74" s="72">
        <v>1.0740000000000001</v>
      </c>
      <c r="M74" s="72">
        <v>1.0920000000000001</v>
      </c>
      <c r="N74" s="72">
        <v>1.0860000000000001</v>
      </c>
      <c r="O74" s="31">
        <f t="shared" si="17"/>
        <v>1.0819166666666666</v>
      </c>
    </row>
    <row r="75" spans="2:15" x14ac:dyDescent="0.3">
      <c r="B75" s="41">
        <v>44</v>
      </c>
      <c r="C75" s="72">
        <v>1.1080000000000001</v>
      </c>
      <c r="D75" s="72">
        <v>1.1220000000000001</v>
      </c>
      <c r="E75" s="72">
        <v>1.117</v>
      </c>
      <c r="F75" s="72">
        <v>1.1299999999999999</v>
      </c>
      <c r="G75" s="72">
        <v>1.1399999999999999</v>
      </c>
      <c r="H75" s="72">
        <v>1.137</v>
      </c>
      <c r="I75" s="72">
        <v>1.107</v>
      </c>
      <c r="J75" s="72">
        <v>1.0780000000000001</v>
      </c>
      <c r="K75" s="72">
        <v>1.048</v>
      </c>
      <c r="L75" s="72">
        <v>1.0680000000000001</v>
      </c>
      <c r="M75" s="72">
        <v>1.089</v>
      </c>
      <c r="N75" s="72">
        <v>1.0880000000000001</v>
      </c>
      <c r="O75" s="31">
        <f t="shared" si="17"/>
        <v>1.1026666666666667</v>
      </c>
    </row>
    <row r="76" spans="2:15" x14ac:dyDescent="0.3">
      <c r="B76" s="41">
        <v>45</v>
      </c>
      <c r="C76" s="72">
        <v>1.111</v>
      </c>
      <c r="D76" s="72">
        <v>1.1220000000000001</v>
      </c>
      <c r="E76" s="72">
        <v>1.117</v>
      </c>
      <c r="F76" s="72">
        <v>1.1080000000000001</v>
      </c>
      <c r="G76" s="72">
        <v>1.085</v>
      </c>
      <c r="H76" s="72">
        <v>1.085</v>
      </c>
      <c r="I76" s="72">
        <v>1.071</v>
      </c>
      <c r="J76" s="72">
        <v>1.0620000000000001</v>
      </c>
      <c r="K76" s="72">
        <v>1.0640000000000001</v>
      </c>
      <c r="L76" s="72">
        <v>1.069</v>
      </c>
      <c r="M76" s="72">
        <v>1.079</v>
      </c>
      <c r="N76" s="72">
        <v>1.0880000000000001</v>
      </c>
      <c r="O76" s="31">
        <f t="shared" si="17"/>
        <v>1.0884166666666666</v>
      </c>
    </row>
    <row r="77" spans="2:15" x14ac:dyDescent="0.3">
      <c r="B77" s="41">
        <v>46</v>
      </c>
      <c r="C77" s="72">
        <v>1.06</v>
      </c>
      <c r="D77" s="72">
        <v>1.03</v>
      </c>
      <c r="E77" s="72">
        <v>1.032</v>
      </c>
      <c r="F77" s="72">
        <v>1.0329999999999999</v>
      </c>
      <c r="G77" s="72">
        <v>1.075</v>
      </c>
      <c r="H77" s="72">
        <v>1.113</v>
      </c>
      <c r="I77" s="72">
        <v>1.105</v>
      </c>
      <c r="J77" s="72">
        <v>1.103</v>
      </c>
      <c r="K77" s="72">
        <v>1.1080000000000001</v>
      </c>
      <c r="L77" s="72">
        <v>1.117</v>
      </c>
      <c r="M77" s="72">
        <v>1.117</v>
      </c>
      <c r="N77" s="72">
        <v>1.089</v>
      </c>
      <c r="O77" s="31">
        <f t="shared" si="17"/>
        <v>1.0818333333333334</v>
      </c>
    </row>
    <row r="78" spans="2:15" x14ac:dyDescent="0.3">
      <c r="B78" s="41">
        <v>47</v>
      </c>
      <c r="C78" s="72">
        <v>1.121</v>
      </c>
      <c r="D78" s="72">
        <v>1.117</v>
      </c>
      <c r="E78" s="72">
        <v>1.103</v>
      </c>
      <c r="F78" s="72">
        <v>1.1040000000000001</v>
      </c>
      <c r="G78" s="72">
        <v>1.1200000000000001</v>
      </c>
      <c r="H78" s="72">
        <v>1.127</v>
      </c>
      <c r="I78" s="72">
        <v>1.115</v>
      </c>
      <c r="J78" s="72">
        <v>1.0960000000000001</v>
      </c>
      <c r="K78" s="72">
        <v>1.117</v>
      </c>
      <c r="L78" s="72">
        <v>1.125</v>
      </c>
      <c r="M78" s="72">
        <v>1.1479999999999999</v>
      </c>
      <c r="N78" s="72">
        <v>1.1319999999999999</v>
      </c>
      <c r="O78" s="31">
        <f t="shared" si="17"/>
        <v>1.1187499999999999</v>
      </c>
    </row>
    <row r="79" spans="2:15" x14ac:dyDescent="0.3">
      <c r="B79" s="41">
        <v>48</v>
      </c>
      <c r="C79" s="72">
        <v>1.0880000000000001</v>
      </c>
      <c r="D79" s="72">
        <v>1.0620000000000001</v>
      </c>
      <c r="E79" s="72">
        <v>1.0589999999999999</v>
      </c>
      <c r="F79" s="72">
        <v>1.0649999999999999</v>
      </c>
      <c r="G79" s="72">
        <v>1.0740000000000001</v>
      </c>
      <c r="H79" s="72">
        <v>1.0860000000000001</v>
      </c>
      <c r="I79" s="72">
        <v>1.08</v>
      </c>
      <c r="J79" s="72">
        <v>1.08</v>
      </c>
      <c r="K79" s="72">
        <v>1.0860000000000001</v>
      </c>
      <c r="L79" s="72">
        <v>1.105</v>
      </c>
      <c r="M79" s="72">
        <v>1.1060000000000001</v>
      </c>
      <c r="N79" s="72">
        <v>1.0980000000000001</v>
      </c>
      <c r="O79" s="31">
        <f t="shared" si="17"/>
        <v>1.0824166666666668</v>
      </c>
    </row>
    <row r="80" spans="2:15" x14ac:dyDescent="0.3">
      <c r="B80" s="41">
        <v>49</v>
      </c>
      <c r="C80" s="72">
        <v>1.0920000000000001</v>
      </c>
      <c r="D80" s="72">
        <v>1.0960000000000001</v>
      </c>
      <c r="E80" s="72">
        <v>1.0840000000000001</v>
      </c>
      <c r="F80" s="72">
        <v>1.1080000000000001</v>
      </c>
      <c r="G80" s="72">
        <v>1.109</v>
      </c>
      <c r="H80" s="72">
        <v>1.1180000000000001</v>
      </c>
      <c r="I80" s="72">
        <v>1.093</v>
      </c>
      <c r="J80" s="72">
        <v>1.056</v>
      </c>
      <c r="K80" s="72">
        <v>1.04</v>
      </c>
      <c r="L80" s="72">
        <v>1.048</v>
      </c>
      <c r="M80" s="72">
        <v>1.0589999999999999</v>
      </c>
      <c r="N80" s="72">
        <v>1.0880000000000001</v>
      </c>
      <c r="O80" s="31">
        <f t="shared" si="17"/>
        <v>1.0825833333333332</v>
      </c>
    </row>
    <row r="81" spans="2:15" x14ac:dyDescent="0.3">
      <c r="B81" s="41">
        <v>50</v>
      </c>
      <c r="C81" s="72">
        <v>1.069</v>
      </c>
      <c r="D81" s="72">
        <v>1.0489999999999999</v>
      </c>
      <c r="E81" s="72">
        <v>1.046</v>
      </c>
      <c r="F81" s="72">
        <v>1.0489999999999999</v>
      </c>
      <c r="G81" s="72">
        <v>1.0669999999999999</v>
      </c>
      <c r="H81" s="72">
        <v>1.071</v>
      </c>
      <c r="I81" s="72">
        <v>1.0469999999999999</v>
      </c>
      <c r="J81" s="72">
        <v>1.028</v>
      </c>
      <c r="K81" s="72">
        <v>1.0089999999999999</v>
      </c>
      <c r="L81" s="72">
        <v>1.024</v>
      </c>
      <c r="M81" s="72">
        <v>1.048</v>
      </c>
      <c r="N81" s="72">
        <v>1.0620000000000001</v>
      </c>
      <c r="O81" s="31">
        <f t="shared" si="17"/>
        <v>1.0474166666666667</v>
      </c>
    </row>
    <row r="82" spans="2:15" x14ac:dyDescent="0.3">
      <c r="B82" s="41">
        <v>51</v>
      </c>
      <c r="C82" s="72">
        <v>1.046</v>
      </c>
      <c r="D82" s="72">
        <v>1.0720000000000001</v>
      </c>
      <c r="E82" s="72">
        <v>1.0900000000000001</v>
      </c>
      <c r="F82" s="72">
        <v>1.099</v>
      </c>
      <c r="G82" s="72">
        <v>1.1279999999999999</v>
      </c>
      <c r="H82" s="72">
        <v>1.1419999999999999</v>
      </c>
      <c r="I82" s="72">
        <v>1.113</v>
      </c>
      <c r="J82" s="72">
        <v>1.07</v>
      </c>
      <c r="K82" s="72">
        <v>1.0469999999999999</v>
      </c>
      <c r="L82" s="72">
        <v>1.0389999999999999</v>
      </c>
      <c r="M82" s="72">
        <v>1.0509999999999999</v>
      </c>
      <c r="N82" s="72">
        <v>1.052</v>
      </c>
      <c r="O82" s="31">
        <f t="shared" si="17"/>
        <v>1.0790833333333334</v>
      </c>
    </row>
    <row r="83" spans="2:15" x14ac:dyDescent="0.3">
      <c r="B83" s="41">
        <v>52</v>
      </c>
      <c r="C83" s="72">
        <v>1.091</v>
      </c>
      <c r="D83" s="72">
        <v>1.081</v>
      </c>
      <c r="E83" s="72">
        <v>1.0609999999999999</v>
      </c>
      <c r="F83" s="72">
        <v>1.0660000000000001</v>
      </c>
      <c r="G83" s="72">
        <v>1.07</v>
      </c>
      <c r="H83" s="72">
        <v>1.085</v>
      </c>
      <c r="I83" s="72">
        <v>1.077</v>
      </c>
      <c r="J83" s="72">
        <v>1.0680000000000001</v>
      </c>
      <c r="K83" s="72">
        <v>1.0840000000000001</v>
      </c>
      <c r="L83" s="72">
        <v>1.103</v>
      </c>
      <c r="M83" s="72">
        <v>1.1180000000000001</v>
      </c>
      <c r="N83" s="72">
        <v>1.1080000000000001</v>
      </c>
      <c r="O83" s="31">
        <f t="shared" si="17"/>
        <v>1.0843333333333334</v>
      </c>
    </row>
    <row r="84" spans="2:15" x14ac:dyDescent="0.3">
      <c r="B84" s="41">
        <v>53</v>
      </c>
      <c r="C84" s="72">
        <v>1.081</v>
      </c>
      <c r="D84" s="72">
        <v>1.077</v>
      </c>
      <c r="E84" s="72">
        <v>1.071</v>
      </c>
      <c r="F84" s="72">
        <v>1.071</v>
      </c>
      <c r="G84" s="72">
        <v>1.1080000000000001</v>
      </c>
      <c r="H84" s="72">
        <v>1.171</v>
      </c>
      <c r="I84" s="72">
        <v>1.1140000000000001</v>
      </c>
      <c r="J84" s="72">
        <v>1.0760000000000001</v>
      </c>
      <c r="K84" s="72">
        <v>1.0680000000000001</v>
      </c>
      <c r="L84" s="72">
        <v>1.077</v>
      </c>
      <c r="M84" s="72">
        <v>1.071</v>
      </c>
      <c r="N84" s="72">
        <v>1.075</v>
      </c>
      <c r="O84" s="31">
        <f t="shared" si="17"/>
        <v>1.0883333333333332</v>
      </c>
    </row>
    <row r="85" spans="2:15" x14ac:dyDescent="0.3">
      <c r="B85" s="41">
        <v>54</v>
      </c>
      <c r="C85" s="72">
        <v>1.0760000000000001</v>
      </c>
      <c r="D85" s="72">
        <v>1.07</v>
      </c>
      <c r="E85" s="72">
        <v>1.05</v>
      </c>
      <c r="F85" s="72">
        <v>1.073</v>
      </c>
      <c r="G85" s="72">
        <v>1.1000000000000001</v>
      </c>
      <c r="H85" s="72">
        <v>1.1319999999999999</v>
      </c>
      <c r="I85" s="72">
        <v>1.143</v>
      </c>
      <c r="J85" s="72">
        <v>1.119</v>
      </c>
      <c r="K85" s="72">
        <v>1.1080000000000001</v>
      </c>
      <c r="L85" s="72">
        <v>1.1040000000000001</v>
      </c>
      <c r="M85" s="72">
        <v>1.099</v>
      </c>
      <c r="N85" s="72">
        <v>1.0840000000000001</v>
      </c>
      <c r="O85" s="31">
        <f t="shared" si="17"/>
        <v>1.0965</v>
      </c>
    </row>
    <row r="86" spans="2:15" x14ac:dyDescent="0.3">
      <c r="B86" s="41">
        <v>55</v>
      </c>
      <c r="C86" s="72">
        <v>1.105</v>
      </c>
      <c r="D86" s="72">
        <v>1.123</v>
      </c>
      <c r="E86" s="72">
        <v>1.1200000000000001</v>
      </c>
      <c r="F86" s="72">
        <v>1.103</v>
      </c>
      <c r="G86" s="72">
        <v>1.1419999999999999</v>
      </c>
      <c r="H86" s="72">
        <v>1.1619999999999999</v>
      </c>
      <c r="I86" s="72">
        <v>1.1419999999999999</v>
      </c>
      <c r="J86" s="72">
        <v>1.1160000000000001</v>
      </c>
      <c r="K86" s="72">
        <v>1.0720000000000001</v>
      </c>
      <c r="L86" s="72">
        <v>1.0609999999999999</v>
      </c>
      <c r="M86" s="72">
        <v>1.0669999999999999</v>
      </c>
      <c r="N86" s="72">
        <v>1.071</v>
      </c>
      <c r="O86" s="31">
        <f t="shared" si="17"/>
        <v>1.107</v>
      </c>
    </row>
    <row r="87" spans="2:15" x14ac:dyDescent="0.3">
      <c r="B87" s="41">
        <v>56</v>
      </c>
      <c r="C87" s="72">
        <v>1.1100000000000001</v>
      </c>
      <c r="D87" s="72">
        <v>1.0940000000000001</v>
      </c>
      <c r="E87" s="72">
        <v>1.08</v>
      </c>
      <c r="F87" s="72">
        <v>1.0840000000000001</v>
      </c>
      <c r="G87" s="72">
        <v>1.085</v>
      </c>
      <c r="H87" s="72">
        <v>1.0840000000000001</v>
      </c>
      <c r="I87" s="72">
        <v>1.0660000000000001</v>
      </c>
      <c r="J87" s="72">
        <v>1.044</v>
      </c>
      <c r="K87" s="72">
        <v>1.0469999999999999</v>
      </c>
      <c r="L87" s="72">
        <v>1.077</v>
      </c>
      <c r="M87" s="72">
        <v>1.1000000000000001</v>
      </c>
      <c r="N87" s="72">
        <v>1.113</v>
      </c>
      <c r="O87" s="31">
        <f t="shared" si="17"/>
        <v>1.0820000000000001</v>
      </c>
    </row>
    <row r="88" spans="2:15" x14ac:dyDescent="0.3">
      <c r="B88" s="41">
        <v>57</v>
      </c>
      <c r="C88" s="72">
        <v>1.1419999999999999</v>
      </c>
      <c r="D88" s="72">
        <v>1.133</v>
      </c>
      <c r="E88" s="72">
        <v>1.1439999999999999</v>
      </c>
      <c r="F88" s="72">
        <v>1.127</v>
      </c>
      <c r="G88" s="72">
        <v>1.139</v>
      </c>
      <c r="H88" s="72">
        <v>1.1459999999999999</v>
      </c>
      <c r="I88" s="72">
        <v>1.1299999999999999</v>
      </c>
      <c r="J88" s="72">
        <v>1.085</v>
      </c>
      <c r="K88" s="72">
        <v>1.079</v>
      </c>
      <c r="L88" s="72">
        <v>1.0900000000000001</v>
      </c>
      <c r="M88" s="72">
        <v>1.115</v>
      </c>
      <c r="N88" s="72">
        <v>1.121</v>
      </c>
      <c r="O88" s="31">
        <f t="shared" si="17"/>
        <v>1.1209166666666668</v>
      </c>
    </row>
    <row r="89" spans="2:15" x14ac:dyDescent="0.3">
      <c r="B89" s="41">
        <v>58</v>
      </c>
      <c r="C89" s="72">
        <v>1.069</v>
      </c>
      <c r="D89" s="72">
        <v>1.0669999999999999</v>
      </c>
      <c r="E89" s="72">
        <v>1.05</v>
      </c>
      <c r="F89" s="72">
        <v>1.0509999999999999</v>
      </c>
      <c r="G89" s="72">
        <v>1.0880000000000001</v>
      </c>
      <c r="H89" s="72">
        <v>1.1060000000000001</v>
      </c>
      <c r="I89" s="72">
        <v>1.1040000000000001</v>
      </c>
      <c r="J89" s="72">
        <v>1.0860000000000001</v>
      </c>
      <c r="K89" s="72">
        <v>1.0720000000000001</v>
      </c>
      <c r="L89" s="72">
        <v>1.0860000000000001</v>
      </c>
      <c r="M89" s="72">
        <v>1.089</v>
      </c>
      <c r="N89" s="72">
        <v>1.0880000000000001</v>
      </c>
      <c r="O89" s="31">
        <f t="shared" si="17"/>
        <v>1.079666666666667</v>
      </c>
    </row>
    <row r="90" spans="2:15" x14ac:dyDescent="0.3">
      <c r="B90" s="41">
        <v>59</v>
      </c>
      <c r="C90" s="72">
        <v>1.1000000000000001</v>
      </c>
      <c r="D90" s="72">
        <v>1.093</v>
      </c>
      <c r="E90" s="72">
        <v>1.07</v>
      </c>
      <c r="F90" s="72">
        <v>1.085</v>
      </c>
      <c r="G90" s="72">
        <v>1.1120000000000001</v>
      </c>
      <c r="H90" s="72">
        <v>1.1299999999999999</v>
      </c>
      <c r="I90" s="72">
        <v>1.091</v>
      </c>
      <c r="J90" s="72">
        <v>1.05</v>
      </c>
      <c r="K90" s="72">
        <v>1.0629999999999999</v>
      </c>
      <c r="L90" s="72">
        <v>1.069</v>
      </c>
      <c r="M90" s="72">
        <v>1.109</v>
      </c>
      <c r="N90" s="72">
        <v>1.1120000000000001</v>
      </c>
      <c r="O90" s="31">
        <f t="shared" si="17"/>
        <v>1.0903333333333334</v>
      </c>
    </row>
    <row r="91" spans="2:15" x14ac:dyDescent="0.3">
      <c r="B91" s="41">
        <v>60</v>
      </c>
      <c r="C91" s="72">
        <v>1.0860000000000001</v>
      </c>
      <c r="D91" s="72">
        <v>1.0860000000000001</v>
      </c>
      <c r="E91" s="72">
        <v>1.081</v>
      </c>
      <c r="F91" s="72">
        <v>1.0920000000000001</v>
      </c>
      <c r="G91" s="72">
        <v>1.1100000000000001</v>
      </c>
      <c r="H91" s="72">
        <v>1.1100000000000001</v>
      </c>
      <c r="I91" s="72">
        <v>1.0900000000000001</v>
      </c>
      <c r="J91" s="72">
        <v>1.075</v>
      </c>
      <c r="K91" s="72">
        <v>1.0760000000000001</v>
      </c>
      <c r="L91" s="72">
        <v>1.095</v>
      </c>
      <c r="M91" s="72">
        <v>1.095</v>
      </c>
      <c r="N91" s="72">
        <v>1.103</v>
      </c>
      <c r="O91" s="31">
        <f t="shared" si="17"/>
        <v>1.0915833333333336</v>
      </c>
    </row>
    <row r="92" spans="2:15" x14ac:dyDescent="0.3">
      <c r="B92" s="41">
        <v>61</v>
      </c>
      <c r="C92" s="72">
        <v>1.091</v>
      </c>
      <c r="D92" s="72">
        <v>1.099</v>
      </c>
      <c r="E92" s="72">
        <v>1.089</v>
      </c>
      <c r="F92" s="72">
        <v>1.1000000000000001</v>
      </c>
      <c r="G92" s="72">
        <v>1.1080000000000001</v>
      </c>
      <c r="H92" s="72">
        <v>1.117</v>
      </c>
      <c r="I92" s="72">
        <v>1.1060000000000001</v>
      </c>
      <c r="J92" s="72">
        <v>1.0720000000000001</v>
      </c>
      <c r="K92" s="72">
        <v>1.0509999999999999</v>
      </c>
      <c r="L92" s="72">
        <v>1.0509999999999999</v>
      </c>
      <c r="M92" s="72">
        <v>1.0529999999999999</v>
      </c>
      <c r="N92" s="72">
        <v>1.079</v>
      </c>
      <c r="O92" s="31">
        <f t="shared" si="17"/>
        <v>1.0846666666666669</v>
      </c>
    </row>
    <row r="93" spans="2:15" x14ac:dyDescent="0.3">
      <c r="B93" s="41">
        <v>62</v>
      </c>
      <c r="C93" s="72">
        <v>1.1040000000000001</v>
      </c>
      <c r="D93" s="72">
        <v>1.101</v>
      </c>
      <c r="E93" s="72">
        <v>1.0820000000000001</v>
      </c>
      <c r="F93" s="72">
        <v>1.0920000000000001</v>
      </c>
      <c r="G93" s="72">
        <v>1.1160000000000001</v>
      </c>
      <c r="H93" s="72">
        <v>1.131</v>
      </c>
      <c r="I93" s="72">
        <v>1.0820000000000001</v>
      </c>
      <c r="J93" s="72">
        <v>1.036</v>
      </c>
      <c r="K93" s="72">
        <v>1.0589999999999999</v>
      </c>
      <c r="L93" s="72">
        <v>1.07</v>
      </c>
      <c r="M93" s="72">
        <v>1.1080000000000001</v>
      </c>
      <c r="N93" s="72">
        <v>1.1180000000000001</v>
      </c>
      <c r="O93" s="31">
        <f t="shared" si="17"/>
        <v>1.0915833333333333</v>
      </c>
    </row>
    <row r="94" spans="2:15" x14ac:dyDescent="0.3">
      <c r="B94" s="41">
        <v>63</v>
      </c>
      <c r="C94" s="72">
        <v>1.1299999999999999</v>
      </c>
      <c r="D94" s="72">
        <v>1.147</v>
      </c>
      <c r="E94" s="72">
        <v>1.141</v>
      </c>
      <c r="F94" s="72">
        <v>1.139</v>
      </c>
      <c r="G94" s="72">
        <v>1.1599999999999999</v>
      </c>
      <c r="H94" s="72">
        <v>1.129</v>
      </c>
      <c r="I94" s="72">
        <v>1.085</v>
      </c>
      <c r="J94" s="72">
        <v>1.0489999999999999</v>
      </c>
      <c r="K94" s="72">
        <v>1.0389999999999999</v>
      </c>
      <c r="L94" s="72">
        <v>1.07</v>
      </c>
      <c r="M94" s="72">
        <v>1.087</v>
      </c>
      <c r="N94" s="72">
        <v>1.121</v>
      </c>
      <c r="O94" s="31">
        <f t="shared" si="17"/>
        <v>1.1080833333333333</v>
      </c>
    </row>
    <row r="95" spans="2:15" x14ac:dyDescent="0.3">
      <c r="B95" s="41">
        <v>64</v>
      </c>
      <c r="C95" s="72">
        <v>1.099</v>
      </c>
      <c r="D95" s="72">
        <v>1.1020000000000001</v>
      </c>
      <c r="E95" s="72">
        <v>1.087</v>
      </c>
      <c r="F95" s="72">
        <v>1.1060000000000001</v>
      </c>
      <c r="G95" s="72">
        <v>1.117</v>
      </c>
      <c r="H95" s="72">
        <v>1.131</v>
      </c>
      <c r="I95" s="72">
        <v>1.1180000000000001</v>
      </c>
      <c r="J95" s="72">
        <v>1.091</v>
      </c>
      <c r="K95" s="72">
        <v>1.089</v>
      </c>
      <c r="L95" s="72">
        <v>1.083</v>
      </c>
      <c r="M95" s="72">
        <v>1.0900000000000001</v>
      </c>
      <c r="N95" s="72">
        <v>1.093</v>
      </c>
      <c r="O95" s="31">
        <f t="shared" si="17"/>
        <v>1.1005</v>
      </c>
    </row>
    <row r="96" spans="2:15" x14ac:dyDescent="0.3">
      <c r="B96" s="41">
        <v>65</v>
      </c>
      <c r="C96" s="72">
        <v>1.0629999999999999</v>
      </c>
      <c r="D96" s="72">
        <v>1.0589999999999999</v>
      </c>
      <c r="E96" s="72">
        <v>1.04</v>
      </c>
      <c r="F96" s="72">
        <v>1.052</v>
      </c>
      <c r="G96" s="72">
        <v>1.0740000000000001</v>
      </c>
      <c r="H96" s="72">
        <v>1.085</v>
      </c>
      <c r="I96" s="72">
        <v>1.0629999999999999</v>
      </c>
      <c r="J96" s="72">
        <v>1.056</v>
      </c>
      <c r="K96" s="72">
        <v>1.046</v>
      </c>
      <c r="L96" s="72">
        <v>1.0609999999999999</v>
      </c>
      <c r="M96" s="72">
        <v>1.0840000000000001</v>
      </c>
      <c r="N96" s="72">
        <v>1.0680000000000001</v>
      </c>
      <c r="O96" s="31">
        <f t="shared" si="17"/>
        <v>1.0625833333333332</v>
      </c>
    </row>
    <row r="97" spans="2:15" x14ac:dyDescent="0.3">
      <c r="B97" s="41">
        <v>66</v>
      </c>
      <c r="C97" s="72">
        <v>1.1240000000000001</v>
      </c>
      <c r="D97" s="72">
        <v>1.113</v>
      </c>
      <c r="E97" s="72">
        <v>1.081</v>
      </c>
      <c r="F97" s="72">
        <v>1.077</v>
      </c>
      <c r="G97" s="72">
        <v>1.091</v>
      </c>
      <c r="H97" s="72">
        <v>1.105</v>
      </c>
      <c r="I97" s="72">
        <v>1.1020000000000001</v>
      </c>
      <c r="J97" s="72">
        <v>1.089</v>
      </c>
      <c r="K97" s="72">
        <v>1.103</v>
      </c>
      <c r="L97" s="72">
        <v>1.111</v>
      </c>
      <c r="M97" s="72">
        <v>1.127</v>
      </c>
      <c r="N97" s="72">
        <v>1.133</v>
      </c>
      <c r="O97" s="31">
        <f t="shared" si="17"/>
        <v>1.1046666666666667</v>
      </c>
    </row>
    <row r="98" spans="2:15" x14ac:dyDescent="0.3">
      <c r="B98" s="41">
        <v>67</v>
      </c>
      <c r="C98" s="72">
        <v>1.123</v>
      </c>
      <c r="D98" s="72">
        <v>1.1479999999999999</v>
      </c>
      <c r="E98" s="72">
        <v>1.135</v>
      </c>
      <c r="F98" s="72">
        <v>1.1040000000000001</v>
      </c>
      <c r="G98" s="72">
        <v>1.109</v>
      </c>
      <c r="H98" s="72">
        <v>1.0960000000000001</v>
      </c>
      <c r="I98" s="72">
        <v>1.0720000000000001</v>
      </c>
      <c r="J98" s="72">
        <v>1.052</v>
      </c>
      <c r="K98" s="72">
        <v>1.038</v>
      </c>
      <c r="L98" s="72">
        <v>1.0609999999999999</v>
      </c>
      <c r="M98" s="72">
        <v>1.0860000000000001</v>
      </c>
      <c r="N98" s="72">
        <v>1.1060000000000001</v>
      </c>
      <c r="O98" s="31">
        <f t="shared" si="17"/>
        <v>1.0941666666666667</v>
      </c>
    </row>
    <row r="99" spans="2:15" x14ac:dyDescent="0.3">
      <c r="B99" s="41">
        <v>68</v>
      </c>
      <c r="C99" s="72">
        <v>1.101</v>
      </c>
      <c r="D99" s="72">
        <v>1.0680000000000001</v>
      </c>
      <c r="E99" s="72">
        <v>1.0469999999999999</v>
      </c>
      <c r="F99" s="72">
        <v>1.054</v>
      </c>
      <c r="G99" s="72">
        <v>1.0860000000000001</v>
      </c>
      <c r="H99" s="72">
        <v>1.1419999999999999</v>
      </c>
      <c r="I99" s="72">
        <v>1.147</v>
      </c>
      <c r="J99" s="72">
        <v>1.1080000000000001</v>
      </c>
      <c r="K99" s="72">
        <v>1.1259999999999999</v>
      </c>
      <c r="L99" s="72">
        <v>1.145</v>
      </c>
      <c r="M99" s="72">
        <v>1.141</v>
      </c>
      <c r="N99" s="72">
        <v>1.1160000000000001</v>
      </c>
      <c r="O99" s="31">
        <f t="shared" si="17"/>
        <v>1.1067500000000001</v>
      </c>
    </row>
    <row r="100" spans="2:15" x14ac:dyDescent="0.3">
      <c r="B100" s="41">
        <v>69</v>
      </c>
      <c r="C100" s="72">
        <v>1.0760000000000001</v>
      </c>
      <c r="D100" s="72">
        <v>1.0569999999999999</v>
      </c>
      <c r="E100" s="72">
        <v>1.05</v>
      </c>
      <c r="F100" s="72">
        <v>1.05</v>
      </c>
      <c r="G100" s="72">
        <v>1.0629999999999999</v>
      </c>
      <c r="H100" s="72">
        <v>1.0660000000000001</v>
      </c>
      <c r="I100" s="72">
        <v>1.044</v>
      </c>
      <c r="J100" s="72">
        <v>1.0229999999999999</v>
      </c>
      <c r="K100" s="72">
        <v>1.008</v>
      </c>
      <c r="L100" s="72">
        <v>1.0229999999999999</v>
      </c>
      <c r="M100" s="72">
        <v>1.054</v>
      </c>
      <c r="N100" s="72">
        <v>1.0660000000000001</v>
      </c>
      <c r="O100" s="31">
        <f t="shared" si="17"/>
        <v>1.0483333333333331</v>
      </c>
    </row>
    <row r="101" spans="2:15" x14ac:dyDescent="0.3">
      <c r="B101" s="41">
        <v>70</v>
      </c>
      <c r="C101" s="72">
        <v>1.0740000000000001</v>
      </c>
      <c r="D101" s="72">
        <v>1.048</v>
      </c>
      <c r="E101" s="72">
        <v>1.0209999999999999</v>
      </c>
      <c r="F101" s="72">
        <v>1.036</v>
      </c>
      <c r="G101" s="72">
        <v>1.073</v>
      </c>
      <c r="H101" s="72">
        <v>1.107</v>
      </c>
      <c r="I101" s="72">
        <v>1.099</v>
      </c>
      <c r="J101" s="72">
        <v>1.1060000000000001</v>
      </c>
      <c r="K101" s="72">
        <v>1.1180000000000001</v>
      </c>
      <c r="L101" s="72">
        <v>1.1319999999999999</v>
      </c>
      <c r="M101" s="72">
        <v>1.123</v>
      </c>
      <c r="N101" s="72">
        <v>1.1100000000000001</v>
      </c>
      <c r="O101" s="31">
        <f t="shared" si="17"/>
        <v>1.08725</v>
      </c>
    </row>
    <row r="102" spans="2:15" x14ac:dyDescent="0.3">
      <c r="B102" s="41">
        <v>71</v>
      </c>
      <c r="C102" s="72">
        <v>1.08</v>
      </c>
      <c r="D102" s="72">
        <v>1.0740000000000001</v>
      </c>
      <c r="E102" s="72">
        <v>1.048</v>
      </c>
      <c r="F102" s="72">
        <v>1.0549999999999999</v>
      </c>
      <c r="G102" s="72">
        <v>1.157</v>
      </c>
      <c r="H102" s="72">
        <v>1.2210000000000001</v>
      </c>
      <c r="I102" s="72">
        <v>1.2</v>
      </c>
      <c r="J102" s="72">
        <v>1.1180000000000001</v>
      </c>
      <c r="K102" s="72">
        <v>1.101</v>
      </c>
      <c r="L102" s="72">
        <v>1.1160000000000001</v>
      </c>
      <c r="M102" s="72">
        <v>1.115</v>
      </c>
      <c r="N102" s="72">
        <v>1.107</v>
      </c>
      <c r="O102" s="31">
        <f t="shared" si="17"/>
        <v>1.1159999999999999</v>
      </c>
    </row>
    <row r="103" spans="2:15" x14ac:dyDescent="0.3">
      <c r="B103" s="41">
        <v>72</v>
      </c>
      <c r="C103" s="72">
        <v>1.05</v>
      </c>
      <c r="D103" s="72">
        <v>1.071</v>
      </c>
      <c r="E103" s="72">
        <v>1.073</v>
      </c>
      <c r="F103" s="72">
        <v>1.08</v>
      </c>
      <c r="G103" s="72">
        <v>1.0880000000000001</v>
      </c>
      <c r="H103" s="72">
        <v>1.1080000000000001</v>
      </c>
      <c r="I103" s="72">
        <v>1.1140000000000001</v>
      </c>
      <c r="J103" s="72">
        <v>1.101</v>
      </c>
      <c r="K103" s="72">
        <v>1.1020000000000001</v>
      </c>
      <c r="L103" s="72">
        <v>1.1060000000000001</v>
      </c>
      <c r="M103" s="72">
        <v>1.103</v>
      </c>
      <c r="N103" s="72">
        <v>1.077</v>
      </c>
      <c r="O103" s="31">
        <f t="shared" si="17"/>
        <v>1.0894166666666667</v>
      </c>
    </row>
    <row r="104" spans="2:15" x14ac:dyDescent="0.3">
      <c r="B104" s="41">
        <v>73</v>
      </c>
      <c r="C104" s="72">
        <v>1.087</v>
      </c>
      <c r="D104" s="72">
        <v>1.081</v>
      </c>
      <c r="E104" s="72">
        <v>1.0569999999999999</v>
      </c>
      <c r="F104" s="72">
        <v>1.0620000000000001</v>
      </c>
      <c r="G104" s="72">
        <v>1.093</v>
      </c>
      <c r="H104" s="72">
        <v>1.1419999999999999</v>
      </c>
      <c r="I104" s="72">
        <v>1.127</v>
      </c>
      <c r="J104" s="72">
        <v>1.0640000000000001</v>
      </c>
      <c r="K104" s="72">
        <v>1.087</v>
      </c>
      <c r="L104" s="72">
        <v>1.1040000000000001</v>
      </c>
      <c r="M104" s="72">
        <v>1.117</v>
      </c>
      <c r="N104" s="72">
        <v>1.1060000000000001</v>
      </c>
      <c r="O104" s="31">
        <f t="shared" si="17"/>
        <v>1.0939166666666666</v>
      </c>
    </row>
    <row r="105" spans="2:15" x14ac:dyDescent="0.3">
      <c r="B105" s="41">
        <v>74</v>
      </c>
      <c r="C105" s="72">
        <v>1.1160000000000001</v>
      </c>
      <c r="D105" s="72">
        <v>1.085</v>
      </c>
      <c r="E105" s="72">
        <v>1.077</v>
      </c>
      <c r="F105" s="72">
        <v>1.054</v>
      </c>
      <c r="G105" s="72">
        <v>1.079</v>
      </c>
      <c r="H105" s="72">
        <v>1.085</v>
      </c>
      <c r="I105" s="72">
        <v>1.091</v>
      </c>
      <c r="J105" s="72">
        <v>1.0880000000000001</v>
      </c>
      <c r="K105" s="72">
        <v>1.085</v>
      </c>
      <c r="L105" s="72">
        <v>1.109</v>
      </c>
      <c r="M105" s="72">
        <v>1.131</v>
      </c>
      <c r="N105" s="72">
        <v>1.1160000000000001</v>
      </c>
      <c r="O105" s="31">
        <f t="shared" si="17"/>
        <v>1.0930000000000002</v>
      </c>
    </row>
    <row r="106" spans="2:15" x14ac:dyDescent="0.3">
      <c r="B106" s="41">
        <v>75</v>
      </c>
      <c r="C106" s="72">
        <v>1.101</v>
      </c>
      <c r="D106" s="72">
        <v>1.0820000000000001</v>
      </c>
      <c r="E106" s="72">
        <v>1.0860000000000001</v>
      </c>
      <c r="F106" s="72">
        <v>1.08</v>
      </c>
      <c r="G106" s="72">
        <v>1.107</v>
      </c>
      <c r="H106" s="72">
        <v>1.127</v>
      </c>
      <c r="I106" s="72">
        <v>1.115</v>
      </c>
      <c r="J106" s="72">
        <v>1.0820000000000001</v>
      </c>
      <c r="K106" s="72">
        <v>1.06</v>
      </c>
      <c r="L106" s="72">
        <v>1.075</v>
      </c>
      <c r="M106" s="72">
        <v>1.095</v>
      </c>
      <c r="N106" s="72">
        <v>1.091</v>
      </c>
      <c r="O106" s="31">
        <f t="shared" si="17"/>
        <v>1.09175</v>
      </c>
    </row>
    <row r="107" spans="2:15" x14ac:dyDescent="0.3">
      <c r="B107" s="41">
        <v>76</v>
      </c>
      <c r="C107" s="72">
        <v>1.091</v>
      </c>
      <c r="D107" s="72">
        <v>1.079</v>
      </c>
      <c r="E107" s="72">
        <v>1.089</v>
      </c>
      <c r="F107" s="72">
        <v>1.089</v>
      </c>
      <c r="G107" s="72">
        <v>1.099</v>
      </c>
      <c r="H107" s="72">
        <v>1.1180000000000001</v>
      </c>
      <c r="I107" s="72">
        <v>1.099</v>
      </c>
      <c r="J107" s="72">
        <v>1.083</v>
      </c>
      <c r="K107" s="72">
        <v>1.071</v>
      </c>
      <c r="L107" s="72">
        <v>1.0760000000000001</v>
      </c>
      <c r="M107" s="72">
        <v>1.083</v>
      </c>
      <c r="N107" s="72">
        <v>1.083</v>
      </c>
      <c r="O107" s="31">
        <f t="shared" si="17"/>
        <v>1.0883333333333334</v>
      </c>
    </row>
    <row r="108" spans="2:15" x14ac:dyDescent="0.3">
      <c r="B108" s="41">
        <v>77</v>
      </c>
      <c r="C108" s="72">
        <v>1.1359999999999999</v>
      </c>
      <c r="D108" s="72">
        <v>1.141</v>
      </c>
      <c r="E108" s="72">
        <v>1.1279999999999999</v>
      </c>
      <c r="F108" s="72">
        <v>1.1080000000000001</v>
      </c>
      <c r="G108" s="72">
        <v>1.113</v>
      </c>
      <c r="H108" s="72">
        <v>1.1020000000000001</v>
      </c>
      <c r="I108" s="72">
        <v>1.07</v>
      </c>
      <c r="J108" s="72">
        <v>1.0209999999999999</v>
      </c>
      <c r="K108" s="72">
        <v>1.0029999999999999</v>
      </c>
      <c r="L108" s="72">
        <v>1.028</v>
      </c>
      <c r="M108" s="72">
        <v>1.0589999999999999</v>
      </c>
      <c r="N108" s="72">
        <v>1.101</v>
      </c>
      <c r="O108" s="31">
        <f t="shared" si="17"/>
        <v>1.0841666666666665</v>
      </c>
    </row>
    <row r="109" spans="2:15" x14ac:dyDescent="0.3">
      <c r="B109" s="41">
        <v>78</v>
      </c>
      <c r="C109" s="72">
        <v>1.0940000000000001</v>
      </c>
      <c r="D109" s="72">
        <v>1.093</v>
      </c>
      <c r="E109" s="72">
        <v>1.1000000000000001</v>
      </c>
      <c r="F109" s="72">
        <v>1.083</v>
      </c>
      <c r="G109" s="72">
        <v>1.0960000000000001</v>
      </c>
      <c r="H109" s="72">
        <v>1.099</v>
      </c>
      <c r="I109" s="72">
        <v>1.075</v>
      </c>
      <c r="J109" s="72">
        <v>1.0669999999999999</v>
      </c>
      <c r="K109" s="72">
        <v>1.0620000000000001</v>
      </c>
      <c r="L109" s="72">
        <v>1.0880000000000001</v>
      </c>
      <c r="M109" s="72">
        <v>1.095</v>
      </c>
      <c r="N109" s="72">
        <v>1.0980000000000001</v>
      </c>
      <c r="O109" s="31">
        <f t="shared" si="17"/>
        <v>1.0875000000000001</v>
      </c>
    </row>
    <row r="110" spans="2:15" x14ac:dyDescent="0.3">
      <c r="B110" s="41">
        <v>79</v>
      </c>
      <c r="C110" s="72">
        <v>1.048</v>
      </c>
      <c r="D110" s="72">
        <v>1.052</v>
      </c>
      <c r="E110" s="72">
        <v>1.0429999999999999</v>
      </c>
      <c r="F110" s="72">
        <v>1.0649999999999999</v>
      </c>
      <c r="G110" s="72">
        <v>1.099</v>
      </c>
      <c r="H110" s="72">
        <v>1.143</v>
      </c>
      <c r="I110" s="72">
        <v>1.129</v>
      </c>
      <c r="J110" s="72">
        <v>1.101</v>
      </c>
      <c r="K110" s="72">
        <v>1.105</v>
      </c>
      <c r="L110" s="72">
        <v>1.0960000000000001</v>
      </c>
      <c r="M110" s="72">
        <v>1.077</v>
      </c>
      <c r="N110" s="72">
        <v>1.0740000000000001</v>
      </c>
      <c r="O110" s="31">
        <f t="shared" si="17"/>
        <v>1.0860000000000001</v>
      </c>
    </row>
    <row r="111" spans="2:15" x14ac:dyDescent="0.3">
      <c r="B111" s="41">
        <v>80</v>
      </c>
      <c r="C111" s="72">
        <v>1.1180000000000001</v>
      </c>
      <c r="D111" s="72">
        <v>1.1040000000000001</v>
      </c>
      <c r="E111" s="72">
        <v>1.099</v>
      </c>
      <c r="F111" s="72">
        <v>1.087</v>
      </c>
      <c r="G111" s="72">
        <v>1.0880000000000001</v>
      </c>
      <c r="H111" s="72">
        <v>1.1140000000000001</v>
      </c>
      <c r="I111" s="72">
        <v>1.083</v>
      </c>
      <c r="J111" s="72">
        <v>1.008</v>
      </c>
      <c r="K111" s="72">
        <v>1.0229999999999999</v>
      </c>
      <c r="L111" s="72">
        <v>1.0649999999999999</v>
      </c>
      <c r="M111" s="72">
        <v>1.0920000000000001</v>
      </c>
      <c r="N111" s="72">
        <v>1.1060000000000001</v>
      </c>
      <c r="O111" s="31">
        <f t="shared" si="17"/>
        <v>1.0822499999999999</v>
      </c>
    </row>
    <row r="112" spans="2:15" x14ac:dyDescent="0.3">
      <c r="B112" s="41">
        <v>81</v>
      </c>
      <c r="C112" s="72">
        <v>1.0920000000000001</v>
      </c>
      <c r="D112" s="72">
        <v>1.0820000000000001</v>
      </c>
      <c r="E112" s="72">
        <v>1.056</v>
      </c>
      <c r="F112" s="72">
        <v>1.0580000000000001</v>
      </c>
      <c r="G112" s="72">
        <v>1.0629999999999999</v>
      </c>
      <c r="H112" s="72">
        <v>1.08</v>
      </c>
      <c r="I112" s="72">
        <v>1.07</v>
      </c>
      <c r="J112" s="72">
        <v>1.0640000000000001</v>
      </c>
      <c r="K112" s="72">
        <v>1.083</v>
      </c>
      <c r="L112" s="72">
        <v>1.1020000000000001</v>
      </c>
      <c r="M112" s="72">
        <v>1.1140000000000001</v>
      </c>
      <c r="N112" s="72">
        <v>1.111</v>
      </c>
      <c r="O112" s="31">
        <f>AVERAGE(C112:N112)</f>
        <v>1.0812500000000003</v>
      </c>
    </row>
    <row r="113" spans="2:15" x14ac:dyDescent="0.3">
      <c r="B113" s="41">
        <v>82</v>
      </c>
      <c r="C113" s="72">
        <v>1.0449999999999999</v>
      </c>
      <c r="D113" s="72">
        <v>1.0449999999999999</v>
      </c>
      <c r="E113" s="72">
        <v>1.046</v>
      </c>
      <c r="F113" s="72">
        <v>1.0569999999999999</v>
      </c>
      <c r="G113" s="72">
        <v>1.1140000000000001</v>
      </c>
      <c r="H113" s="72">
        <v>1.155</v>
      </c>
      <c r="I113" s="72">
        <v>1.1559999999999999</v>
      </c>
      <c r="J113" s="72">
        <v>1.1240000000000001</v>
      </c>
      <c r="K113" s="72">
        <v>1.0980000000000001</v>
      </c>
      <c r="L113" s="72">
        <v>1.0840000000000001</v>
      </c>
      <c r="M113" s="72">
        <v>1.0589999999999999</v>
      </c>
      <c r="N113" s="72">
        <v>1.0620000000000001</v>
      </c>
      <c r="O113" s="31">
        <f t="shared" ref="O113:O129" si="18">AVERAGE(C113:N113)</f>
        <v>1.0870833333333332</v>
      </c>
    </row>
    <row r="114" spans="2:15" x14ac:dyDescent="0.3">
      <c r="B114" s="41">
        <v>83</v>
      </c>
      <c r="C114" s="72">
        <v>1.077</v>
      </c>
      <c r="D114" s="72">
        <v>1.0609999999999999</v>
      </c>
      <c r="E114" s="72">
        <v>1.075</v>
      </c>
      <c r="F114" s="72">
        <v>1.0760000000000001</v>
      </c>
      <c r="G114" s="72">
        <v>1.1020000000000001</v>
      </c>
      <c r="H114" s="72">
        <v>1.1080000000000001</v>
      </c>
      <c r="I114" s="72">
        <v>1.097</v>
      </c>
      <c r="J114" s="72">
        <v>1.073</v>
      </c>
      <c r="K114" s="72">
        <v>1.0620000000000001</v>
      </c>
      <c r="L114" s="72">
        <v>1.0740000000000001</v>
      </c>
      <c r="M114" s="72">
        <v>1.0920000000000001</v>
      </c>
      <c r="N114" s="72">
        <v>1.0860000000000001</v>
      </c>
      <c r="O114" s="31">
        <f t="shared" si="18"/>
        <v>1.0819166666666666</v>
      </c>
    </row>
    <row r="115" spans="2:15" x14ac:dyDescent="0.3">
      <c r="B115" s="41">
        <v>84</v>
      </c>
      <c r="C115" s="72">
        <v>1.1080000000000001</v>
      </c>
      <c r="D115" s="72">
        <v>1.1220000000000001</v>
      </c>
      <c r="E115" s="72">
        <v>1.117</v>
      </c>
      <c r="F115" s="72">
        <v>1.1299999999999999</v>
      </c>
      <c r="G115" s="72">
        <v>1.1399999999999999</v>
      </c>
      <c r="H115" s="72">
        <v>1.137</v>
      </c>
      <c r="I115" s="72">
        <v>1.107</v>
      </c>
      <c r="J115" s="72">
        <v>1.0780000000000001</v>
      </c>
      <c r="K115" s="72">
        <v>1.048</v>
      </c>
      <c r="L115" s="72">
        <v>1.0680000000000001</v>
      </c>
      <c r="M115" s="72">
        <v>1.089</v>
      </c>
      <c r="N115" s="72">
        <v>1.0880000000000001</v>
      </c>
      <c r="O115" s="31">
        <f t="shared" si="18"/>
        <v>1.1026666666666667</v>
      </c>
    </row>
    <row r="116" spans="2:15" x14ac:dyDescent="0.3">
      <c r="B116" s="41">
        <v>85</v>
      </c>
      <c r="C116" s="72">
        <v>1.111</v>
      </c>
      <c r="D116" s="72">
        <v>1.1220000000000001</v>
      </c>
      <c r="E116" s="72">
        <v>1.117</v>
      </c>
      <c r="F116" s="72">
        <v>1.1080000000000001</v>
      </c>
      <c r="G116" s="72">
        <v>1.085</v>
      </c>
      <c r="H116" s="72">
        <v>1.085</v>
      </c>
      <c r="I116" s="72">
        <v>1.071</v>
      </c>
      <c r="J116" s="72">
        <v>1.0620000000000001</v>
      </c>
      <c r="K116" s="72">
        <v>1.0640000000000001</v>
      </c>
      <c r="L116" s="72">
        <v>1.069</v>
      </c>
      <c r="M116" s="72">
        <v>1.079</v>
      </c>
      <c r="N116" s="72">
        <v>1.0880000000000001</v>
      </c>
      <c r="O116" s="31">
        <f t="shared" si="18"/>
        <v>1.0884166666666666</v>
      </c>
    </row>
    <row r="117" spans="2:15" x14ac:dyDescent="0.3">
      <c r="B117" s="41">
        <v>86</v>
      </c>
      <c r="C117" s="72">
        <v>1.06</v>
      </c>
      <c r="D117" s="72">
        <v>1.03</v>
      </c>
      <c r="E117" s="72">
        <v>1.032</v>
      </c>
      <c r="F117" s="72">
        <v>1.0329999999999999</v>
      </c>
      <c r="G117" s="72">
        <v>1.075</v>
      </c>
      <c r="H117" s="72">
        <v>1.113</v>
      </c>
      <c r="I117" s="72">
        <v>1.105</v>
      </c>
      <c r="J117" s="72">
        <v>1.103</v>
      </c>
      <c r="K117" s="72">
        <v>1.1080000000000001</v>
      </c>
      <c r="L117" s="72">
        <v>1.117</v>
      </c>
      <c r="M117" s="72">
        <v>1.117</v>
      </c>
      <c r="N117" s="72">
        <v>1.089</v>
      </c>
      <c r="O117" s="31">
        <f t="shared" si="18"/>
        <v>1.0818333333333334</v>
      </c>
    </row>
    <row r="118" spans="2:15" x14ac:dyDescent="0.3">
      <c r="B118" s="41">
        <v>87</v>
      </c>
      <c r="C118" s="72">
        <v>1.121</v>
      </c>
      <c r="D118" s="72">
        <v>1.117</v>
      </c>
      <c r="E118" s="72">
        <v>1.103</v>
      </c>
      <c r="F118" s="72">
        <v>1.1040000000000001</v>
      </c>
      <c r="G118" s="72">
        <v>1.1200000000000001</v>
      </c>
      <c r="H118" s="72">
        <v>1.127</v>
      </c>
      <c r="I118" s="72">
        <v>1.115</v>
      </c>
      <c r="J118" s="72">
        <v>1.0960000000000001</v>
      </c>
      <c r="K118" s="72">
        <v>1.117</v>
      </c>
      <c r="L118" s="72">
        <v>1.125</v>
      </c>
      <c r="M118" s="72">
        <v>1.1479999999999999</v>
      </c>
      <c r="N118" s="72">
        <v>1.1319999999999999</v>
      </c>
      <c r="O118" s="31">
        <f t="shared" si="18"/>
        <v>1.1187499999999999</v>
      </c>
    </row>
    <row r="119" spans="2:15" x14ac:dyDescent="0.3">
      <c r="B119" s="41">
        <v>88</v>
      </c>
      <c r="C119" s="72">
        <v>1.0880000000000001</v>
      </c>
      <c r="D119" s="72">
        <v>1.0620000000000001</v>
      </c>
      <c r="E119" s="72">
        <v>1.0589999999999999</v>
      </c>
      <c r="F119" s="72">
        <v>1.0649999999999999</v>
      </c>
      <c r="G119" s="72">
        <v>1.0740000000000001</v>
      </c>
      <c r="H119" s="72">
        <v>1.0860000000000001</v>
      </c>
      <c r="I119" s="72">
        <v>1.08</v>
      </c>
      <c r="J119" s="72">
        <v>1.08</v>
      </c>
      <c r="K119" s="72">
        <v>1.0860000000000001</v>
      </c>
      <c r="L119" s="72">
        <v>1.105</v>
      </c>
      <c r="M119" s="72">
        <v>1.1060000000000001</v>
      </c>
      <c r="N119" s="72">
        <v>1.0980000000000001</v>
      </c>
      <c r="O119" s="31">
        <f t="shared" si="18"/>
        <v>1.0824166666666668</v>
      </c>
    </row>
    <row r="120" spans="2:15" x14ac:dyDescent="0.3">
      <c r="B120" s="41">
        <v>89</v>
      </c>
      <c r="C120" s="72">
        <v>1.0920000000000001</v>
      </c>
      <c r="D120" s="72">
        <v>1.0960000000000001</v>
      </c>
      <c r="E120" s="72">
        <v>1.0840000000000001</v>
      </c>
      <c r="F120" s="72">
        <v>1.1080000000000001</v>
      </c>
      <c r="G120" s="72">
        <v>1.109</v>
      </c>
      <c r="H120" s="72">
        <v>1.1180000000000001</v>
      </c>
      <c r="I120" s="72">
        <v>1.093</v>
      </c>
      <c r="J120" s="72">
        <v>1.056</v>
      </c>
      <c r="K120" s="72">
        <v>1.04</v>
      </c>
      <c r="L120" s="72">
        <v>1.048</v>
      </c>
      <c r="M120" s="72">
        <v>1.0589999999999999</v>
      </c>
      <c r="N120" s="72">
        <v>1.0880000000000001</v>
      </c>
      <c r="O120" s="31">
        <f t="shared" si="18"/>
        <v>1.0825833333333332</v>
      </c>
    </row>
    <row r="121" spans="2:15" x14ac:dyDescent="0.3">
      <c r="B121" s="41">
        <v>90</v>
      </c>
      <c r="C121" s="72">
        <v>1.069</v>
      </c>
      <c r="D121" s="72">
        <v>1.0489999999999999</v>
      </c>
      <c r="E121" s="72">
        <v>1.046</v>
      </c>
      <c r="F121" s="72">
        <v>1.0489999999999999</v>
      </c>
      <c r="G121" s="72">
        <v>1.0669999999999999</v>
      </c>
      <c r="H121" s="72">
        <v>1.071</v>
      </c>
      <c r="I121" s="72">
        <v>1.0469999999999999</v>
      </c>
      <c r="J121" s="72">
        <v>1.028</v>
      </c>
      <c r="K121" s="72">
        <v>1.0089999999999999</v>
      </c>
      <c r="L121" s="72">
        <v>1.024</v>
      </c>
      <c r="M121" s="72">
        <v>1.048</v>
      </c>
      <c r="N121" s="72">
        <v>1.0620000000000001</v>
      </c>
      <c r="O121" s="31">
        <f t="shared" si="18"/>
        <v>1.0474166666666667</v>
      </c>
    </row>
    <row r="122" spans="2:15" x14ac:dyDescent="0.3">
      <c r="B122" s="41">
        <v>91</v>
      </c>
      <c r="C122" s="72">
        <v>1.046</v>
      </c>
      <c r="D122" s="72">
        <v>1.0720000000000001</v>
      </c>
      <c r="E122" s="72">
        <v>1.0900000000000001</v>
      </c>
      <c r="F122" s="72">
        <v>1.099</v>
      </c>
      <c r="G122" s="72">
        <v>1.1279999999999999</v>
      </c>
      <c r="H122" s="72">
        <v>1.1419999999999999</v>
      </c>
      <c r="I122" s="72">
        <v>1.113</v>
      </c>
      <c r="J122" s="72">
        <v>1.07</v>
      </c>
      <c r="K122" s="72">
        <v>1.0469999999999999</v>
      </c>
      <c r="L122" s="72">
        <v>1.0389999999999999</v>
      </c>
      <c r="M122" s="72">
        <v>1.0509999999999999</v>
      </c>
      <c r="N122" s="72">
        <v>1.052</v>
      </c>
      <c r="O122" s="31">
        <f t="shared" si="18"/>
        <v>1.0790833333333334</v>
      </c>
    </row>
    <row r="123" spans="2:15" x14ac:dyDescent="0.3">
      <c r="B123" s="41">
        <v>92</v>
      </c>
      <c r="C123" s="72">
        <v>1.091</v>
      </c>
      <c r="D123" s="72">
        <v>1.081</v>
      </c>
      <c r="E123" s="72">
        <v>1.0609999999999999</v>
      </c>
      <c r="F123" s="72">
        <v>1.0660000000000001</v>
      </c>
      <c r="G123" s="72">
        <v>1.07</v>
      </c>
      <c r="H123" s="72">
        <v>1.085</v>
      </c>
      <c r="I123" s="72">
        <v>1.077</v>
      </c>
      <c r="J123" s="72">
        <v>1.0680000000000001</v>
      </c>
      <c r="K123" s="72">
        <v>1.0840000000000001</v>
      </c>
      <c r="L123" s="72">
        <v>1.103</v>
      </c>
      <c r="M123" s="72">
        <v>1.1180000000000001</v>
      </c>
      <c r="N123" s="72">
        <v>1.1080000000000001</v>
      </c>
      <c r="O123" s="31">
        <f t="shared" si="18"/>
        <v>1.0843333333333334</v>
      </c>
    </row>
    <row r="124" spans="2:15" x14ac:dyDescent="0.3">
      <c r="B124" s="41">
        <v>93</v>
      </c>
      <c r="C124" s="72">
        <v>1.081</v>
      </c>
      <c r="D124" s="72">
        <v>1.077</v>
      </c>
      <c r="E124" s="72">
        <v>1.071</v>
      </c>
      <c r="F124" s="72">
        <v>1.071</v>
      </c>
      <c r="G124" s="72">
        <v>1.1080000000000001</v>
      </c>
      <c r="H124" s="72">
        <v>1.171</v>
      </c>
      <c r="I124" s="72">
        <v>1.1140000000000001</v>
      </c>
      <c r="J124" s="72">
        <v>1.0760000000000001</v>
      </c>
      <c r="K124" s="72">
        <v>1.0680000000000001</v>
      </c>
      <c r="L124" s="72">
        <v>1.077</v>
      </c>
      <c r="M124" s="72">
        <v>1.071</v>
      </c>
      <c r="N124" s="72">
        <v>1.075</v>
      </c>
      <c r="O124" s="31">
        <f t="shared" si="18"/>
        <v>1.0883333333333332</v>
      </c>
    </row>
    <row r="125" spans="2:15" x14ac:dyDescent="0.3">
      <c r="B125" s="41">
        <v>94</v>
      </c>
      <c r="C125" s="72">
        <v>1.0760000000000001</v>
      </c>
      <c r="D125" s="72">
        <v>1.07</v>
      </c>
      <c r="E125" s="72">
        <v>1.05</v>
      </c>
      <c r="F125" s="72">
        <v>1.073</v>
      </c>
      <c r="G125" s="72">
        <v>1.1000000000000001</v>
      </c>
      <c r="H125" s="72">
        <v>1.1319999999999999</v>
      </c>
      <c r="I125" s="72">
        <v>1.143</v>
      </c>
      <c r="J125" s="72">
        <v>1.119</v>
      </c>
      <c r="K125" s="72">
        <v>1.1080000000000001</v>
      </c>
      <c r="L125" s="72">
        <v>1.1040000000000001</v>
      </c>
      <c r="M125" s="72">
        <v>1.099</v>
      </c>
      <c r="N125" s="72">
        <v>1.0840000000000001</v>
      </c>
      <c r="O125" s="31">
        <f t="shared" si="18"/>
        <v>1.0965</v>
      </c>
    </row>
    <row r="126" spans="2:15" x14ac:dyDescent="0.3">
      <c r="B126" s="41">
        <v>95</v>
      </c>
      <c r="C126" s="72">
        <v>1.105</v>
      </c>
      <c r="D126" s="72">
        <v>1.123</v>
      </c>
      <c r="E126" s="72">
        <v>1.1200000000000001</v>
      </c>
      <c r="F126" s="72">
        <v>1.103</v>
      </c>
      <c r="G126" s="72">
        <v>1.1419999999999999</v>
      </c>
      <c r="H126" s="72">
        <v>1.1619999999999999</v>
      </c>
      <c r="I126" s="72">
        <v>1.1419999999999999</v>
      </c>
      <c r="J126" s="72">
        <v>1.1160000000000001</v>
      </c>
      <c r="K126" s="72">
        <v>1.0720000000000001</v>
      </c>
      <c r="L126" s="72">
        <v>1.0609999999999999</v>
      </c>
      <c r="M126" s="72">
        <v>1.0669999999999999</v>
      </c>
      <c r="N126" s="72">
        <v>1.071</v>
      </c>
      <c r="O126" s="31">
        <f t="shared" si="18"/>
        <v>1.107</v>
      </c>
    </row>
    <row r="127" spans="2:15" x14ac:dyDescent="0.3">
      <c r="B127" s="41">
        <v>96</v>
      </c>
      <c r="C127" s="72">
        <v>1.1100000000000001</v>
      </c>
      <c r="D127" s="72">
        <v>1.0940000000000001</v>
      </c>
      <c r="E127" s="72">
        <v>1.08</v>
      </c>
      <c r="F127" s="72">
        <v>1.0840000000000001</v>
      </c>
      <c r="G127" s="72">
        <v>1.085</v>
      </c>
      <c r="H127" s="72">
        <v>1.0840000000000001</v>
      </c>
      <c r="I127" s="72">
        <v>1.0660000000000001</v>
      </c>
      <c r="J127" s="72">
        <v>1.044</v>
      </c>
      <c r="K127" s="72">
        <v>1.0469999999999999</v>
      </c>
      <c r="L127" s="72">
        <v>1.077</v>
      </c>
      <c r="M127" s="72">
        <v>1.1000000000000001</v>
      </c>
      <c r="N127" s="72">
        <v>1.113</v>
      </c>
      <c r="O127" s="31">
        <f t="shared" si="18"/>
        <v>1.0820000000000001</v>
      </c>
    </row>
    <row r="128" spans="2:15" x14ac:dyDescent="0.3">
      <c r="B128" s="41">
        <v>97</v>
      </c>
      <c r="C128" s="72">
        <v>1.1419999999999999</v>
      </c>
      <c r="D128" s="72">
        <v>1.133</v>
      </c>
      <c r="E128" s="72">
        <v>1.1439999999999999</v>
      </c>
      <c r="F128" s="72">
        <v>1.127</v>
      </c>
      <c r="G128" s="72">
        <v>1.139</v>
      </c>
      <c r="H128" s="72">
        <v>1.1459999999999999</v>
      </c>
      <c r="I128" s="72">
        <v>1.1299999999999999</v>
      </c>
      <c r="J128" s="72">
        <v>1.085</v>
      </c>
      <c r="K128" s="72">
        <v>1.079</v>
      </c>
      <c r="L128" s="72">
        <v>1.0900000000000001</v>
      </c>
      <c r="M128" s="72">
        <v>1.115</v>
      </c>
      <c r="N128" s="72">
        <v>1.121</v>
      </c>
      <c r="O128" s="31">
        <f t="shared" si="18"/>
        <v>1.1209166666666668</v>
      </c>
    </row>
    <row r="129" spans="2:15" x14ac:dyDescent="0.3">
      <c r="B129" s="41">
        <v>98</v>
      </c>
      <c r="C129" s="72">
        <v>1.069</v>
      </c>
      <c r="D129" s="72">
        <v>1.0669999999999999</v>
      </c>
      <c r="E129" s="72">
        <v>1.05</v>
      </c>
      <c r="F129" s="72">
        <v>1.0509999999999999</v>
      </c>
      <c r="G129" s="72">
        <v>1.0880000000000001</v>
      </c>
      <c r="H129" s="72">
        <v>1.1060000000000001</v>
      </c>
      <c r="I129" s="72">
        <v>1.1040000000000001</v>
      </c>
      <c r="J129" s="72">
        <v>1.0860000000000001</v>
      </c>
      <c r="K129" s="72">
        <v>1.0720000000000001</v>
      </c>
      <c r="L129" s="72">
        <v>1.0860000000000001</v>
      </c>
      <c r="M129" s="72">
        <v>1.089</v>
      </c>
      <c r="N129" s="72">
        <v>1.0880000000000001</v>
      </c>
      <c r="O129" s="31">
        <f t="shared" si="18"/>
        <v>1.079666666666667</v>
      </c>
    </row>
  </sheetData>
  <mergeCells count="1">
    <mergeCell ref="B18:B19"/>
  </mergeCells>
  <conditionalFormatting sqref="C26:O26">
    <cfRule type="cellIs" dxfId="3" priority="10" operator="greaterThan">
      <formula>#REF!</formula>
    </cfRule>
    <cfRule type="cellIs" dxfId="2" priority="11" operator="lessThan">
      <formula>#REF!</formula>
    </cfRule>
    <cfRule type="dataBar" priority="12">
      <dataBar showValue="0">
        <cfvo type="formula" val="#REF!"/>
        <cfvo type="formula" val="#REF!"/>
        <color rgb="FF92D050"/>
      </dataBar>
      <extLst>
        <ext xmlns:x14="http://schemas.microsoft.com/office/spreadsheetml/2009/9/main" uri="{B025F937-C7B1-47D3-B67F-A62EFF666E3E}">
          <x14:id>{07660B30-DDCD-4EE4-A958-1394D31898F9}</x14:id>
        </ext>
      </extLst>
    </cfRule>
  </conditionalFormatting>
  <conditionalFormatting sqref="C32:O129">
    <cfRule type="colorScale" priority="1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660B30-DDCD-4EE4-A958-1394D31898F9}">
            <x14:dataBar minLength="0" maxLength="100" gradient="0">
              <x14:cfvo type="formula">
                <xm:f>#REF!</xm:f>
              </x14:cfvo>
              <x14:cfvo type="formula">
                <xm:f>#REF!</xm:f>
              </x14:cfvo>
              <x14:negativeFillColor rgb="FF00B0F0"/>
              <x14:axisColor rgb="FF000000"/>
            </x14:dataBar>
          </x14:cfRule>
          <xm:sqref>C26:O26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6B87-1286-42F6-9C2A-9E116C582808}">
  <dimension ref="B1:M40"/>
  <sheetViews>
    <sheetView zoomScaleNormal="100" workbookViewId="0">
      <selection activeCell="F20" sqref="F20"/>
    </sheetView>
  </sheetViews>
  <sheetFormatPr defaultColWidth="8.88671875" defaultRowHeight="14.4" x14ac:dyDescent="0.3"/>
  <cols>
    <col min="1" max="1" width="8.88671875" style="1"/>
    <col min="2" max="2" width="22.6640625" style="1" customWidth="1"/>
    <col min="3" max="9" width="12.6640625" style="1" customWidth="1"/>
    <col min="10" max="16384" width="8.88671875" style="1"/>
  </cols>
  <sheetData>
    <row r="1" spans="2:9" ht="15" thickBot="1" x14ac:dyDescent="0.35"/>
    <row r="2" spans="2:9" x14ac:dyDescent="0.3">
      <c r="F2" s="33"/>
      <c r="G2" s="34"/>
      <c r="H2" s="34"/>
      <c r="I2" s="35"/>
    </row>
    <row r="3" spans="2:9" x14ac:dyDescent="0.3">
      <c r="F3" s="36"/>
      <c r="I3" s="37"/>
    </row>
    <row r="4" spans="2:9" x14ac:dyDescent="0.3">
      <c r="F4" s="36"/>
      <c r="I4" s="37"/>
    </row>
    <row r="5" spans="2:9" x14ac:dyDescent="0.3">
      <c r="F5" s="36"/>
      <c r="I5" s="37"/>
    </row>
    <row r="6" spans="2:9" x14ac:dyDescent="0.3">
      <c r="B6" s="32" t="s">
        <v>21</v>
      </c>
      <c r="C6" s="32" t="s">
        <v>33</v>
      </c>
      <c r="F6" s="36"/>
      <c r="I6" s="37"/>
    </row>
    <row r="7" spans="2:9" x14ac:dyDescent="0.3">
      <c r="B7" s="32" t="s">
        <v>23</v>
      </c>
      <c r="C7" s="32" t="s">
        <v>34</v>
      </c>
      <c r="F7" s="36"/>
      <c r="I7" s="37"/>
    </row>
    <row r="8" spans="2:9" x14ac:dyDescent="0.3">
      <c r="B8" s="32" t="s">
        <v>22</v>
      </c>
      <c r="C8" s="32">
        <v>123456</v>
      </c>
      <c r="F8" s="36"/>
      <c r="I8" s="37"/>
    </row>
    <row r="9" spans="2:9" x14ac:dyDescent="0.3">
      <c r="B9" s="32" t="s">
        <v>26</v>
      </c>
      <c r="C9" s="32" t="s">
        <v>29</v>
      </c>
      <c r="F9" s="36"/>
      <c r="I9" s="37"/>
    </row>
    <row r="10" spans="2:9" x14ac:dyDescent="0.3">
      <c r="B10" s="32" t="s">
        <v>24</v>
      </c>
      <c r="C10" s="32" t="s">
        <v>30</v>
      </c>
      <c r="F10" s="36"/>
      <c r="I10" s="37"/>
    </row>
    <row r="11" spans="2:9" x14ac:dyDescent="0.3">
      <c r="B11" s="32" t="s">
        <v>25</v>
      </c>
      <c r="C11" s="32" t="s">
        <v>35</v>
      </c>
      <c r="F11" s="36"/>
      <c r="I11" s="37"/>
    </row>
    <row r="12" spans="2:9" x14ac:dyDescent="0.3">
      <c r="B12" s="32"/>
      <c r="C12" s="32"/>
      <c r="F12" s="36"/>
      <c r="I12" s="37"/>
    </row>
    <row r="13" spans="2:9" x14ac:dyDescent="0.3">
      <c r="B13" s="32" t="s">
        <v>27</v>
      </c>
      <c r="C13" s="32" t="s">
        <v>31</v>
      </c>
      <c r="F13" s="36"/>
      <c r="I13" s="37"/>
    </row>
    <row r="14" spans="2:9" ht="15" thickBot="1" x14ac:dyDescent="0.35">
      <c r="B14" s="32" t="s">
        <v>28</v>
      </c>
      <c r="C14" s="32" t="s">
        <v>32</v>
      </c>
      <c r="F14" s="38"/>
      <c r="G14" s="39"/>
      <c r="H14" s="39"/>
      <c r="I14" s="40"/>
    </row>
    <row r="15" spans="2:9" ht="14.4" customHeight="1" thickBot="1" x14ac:dyDescent="0.35"/>
    <row r="16" spans="2:9" ht="14.4" customHeight="1" x14ac:dyDescent="0.3">
      <c r="B16" s="60" t="s">
        <v>0</v>
      </c>
      <c r="C16" s="62" t="s">
        <v>1</v>
      </c>
      <c r="D16" s="63"/>
      <c r="E16" s="63"/>
      <c r="F16" s="63"/>
      <c r="G16" s="63"/>
      <c r="H16" s="63"/>
      <c r="I16" s="64"/>
    </row>
    <row r="17" spans="2:13" ht="14.4" customHeight="1" x14ac:dyDescent="0.3">
      <c r="B17" s="61"/>
      <c r="C17" s="65" t="s">
        <v>2</v>
      </c>
      <c r="D17" s="66"/>
      <c r="E17" s="66"/>
      <c r="F17" s="67"/>
      <c r="G17" s="65" t="s">
        <v>3</v>
      </c>
      <c r="H17" s="67"/>
      <c r="I17" s="68" t="s">
        <v>4</v>
      </c>
    </row>
    <row r="18" spans="2:13" ht="14.4" customHeight="1" thickBot="1" x14ac:dyDescent="0.35">
      <c r="B18" s="61"/>
      <c r="C18" s="19" t="s">
        <v>5</v>
      </c>
      <c r="D18" s="20" t="s">
        <v>8</v>
      </c>
      <c r="E18" s="20" t="s">
        <v>9</v>
      </c>
      <c r="F18" s="21" t="s">
        <v>10</v>
      </c>
      <c r="G18" s="19" t="s">
        <v>6</v>
      </c>
      <c r="H18" s="21" t="s">
        <v>7</v>
      </c>
      <c r="I18" s="69"/>
    </row>
    <row r="19" spans="2:13" ht="14.4" customHeight="1" x14ac:dyDescent="0.3">
      <c r="B19" s="3" t="s">
        <v>11</v>
      </c>
      <c r="C19" s="8">
        <v>25.55</v>
      </c>
      <c r="D19" s="8">
        <v>29.9</v>
      </c>
      <c r="E19" s="8">
        <v>30</v>
      </c>
      <c r="F19" s="8">
        <v>22</v>
      </c>
      <c r="G19" s="8">
        <v>14.3</v>
      </c>
      <c r="H19" s="8">
        <v>14.3</v>
      </c>
      <c r="I19" s="9">
        <v>0.9</v>
      </c>
    </row>
    <row r="20" spans="2:13" ht="14.4" customHeight="1" x14ac:dyDescent="0.3">
      <c r="B20" s="22" t="s">
        <v>12</v>
      </c>
      <c r="C20" s="18">
        <v>0.3</v>
      </c>
      <c r="D20" s="18">
        <v>0.3</v>
      </c>
      <c r="E20" s="18">
        <v>0.3</v>
      </c>
      <c r="F20" s="18">
        <v>0.15</v>
      </c>
      <c r="G20" s="18">
        <v>0.3</v>
      </c>
      <c r="H20" s="18">
        <v>0.3</v>
      </c>
      <c r="I20" s="10">
        <v>0.1</v>
      </c>
    </row>
    <row r="21" spans="2:13" ht="14.4" customHeight="1" thickBot="1" x14ac:dyDescent="0.35">
      <c r="B21" s="23" t="s">
        <v>13</v>
      </c>
      <c r="C21" s="11">
        <v>-0.3</v>
      </c>
      <c r="D21" s="11">
        <v>-0.3</v>
      </c>
      <c r="E21" s="11">
        <v>-0.3</v>
      </c>
      <c r="F21" s="11">
        <v>-0.15</v>
      </c>
      <c r="G21" s="11">
        <v>-0.3</v>
      </c>
      <c r="H21" s="11">
        <v>-0.3</v>
      </c>
      <c r="I21" s="12">
        <v>-0.1</v>
      </c>
      <c r="M21" s="17"/>
    </row>
    <row r="22" spans="2:13" ht="14.4" customHeight="1" x14ac:dyDescent="0.3">
      <c r="B22" s="24" t="s">
        <v>14</v>
      </c>
      <c r="C22" s="8">
        <f t="shared" ref="C22:I22" si="0">IF(COUNTA(C19,C20)&lt;2,"",C19+C20)</f>
        <v>25.85</v>
      </c>
      <c r="D22" s="8">
        <f t="shared" si="0"/>
        <v>30.2</v>
      </c>
      <c r="E22" s="8">
        <f t="shared" si="0"/>
        <v>30.3</v>
      </c>
      <c r="F22" s="8">
        <f t="shared" si="0"/>
        <v>22.15</v>
      </c>
      <c r="G22" s="8">
        <f t="shared" si="0"/>
        <v>14.600000000000001</v>
      </c>
      <c r="H22" s="8">
        <f t="shared" si="0"/>
        <v>14.600000000000001</v>
      </c>
      <c r="I22" s="9">
        <f t="shared" si="0"/>
        <v>1</v>
      </c>
    </row>
    <row r="23" spans="2:13" ht="14.4" customHeight="1" thickBot="1" x14ac:dyDescent="0.35">
      <c r="B23" s="25" t="s">
        <v>15</v>
      </c>
      <c r="C23" s="11">
        <f t="shared" ref="C23:I23" si="1">IF(COUNTA(C19,C21)&lt;2,"",C19+C21)</f>
        <v>25.25</v>
      </c>
      <c r="D23" s="11">
        <f t="shared" si="1"/>
        <v>29.599999999999998</v>
      </c>
      <c r="E23" s="11">
        <f t="shared" si="1"/>
        <v>29.7</v>
      </c>
      <c r="F23" s="11">
        <f t="shared" si="1"/>
        <v>21.85</v>
      </c>
      <c r="G23" s="11">
        <f t="shared" si="1"/>
        <v>14</v>
      </c>
      <c r="H23" s="11">
        <f t="shared" si="1"/>
        <v>14</v>
      </c>
      <c r="I23" s="12">
        <f t="shared" si="1"/>
        <v>0.8</v>
      </c>
    </row>
    <row r="24" spans="2:13" ht="14.4" customHeight="1" x14ac:dyDescent="0.3">
      <c r="B24" s="24" t="s">
        <v>16</v>
      </c>
      <c r="C24" s="8" t="str">
        <f t="shared" ref="C24:I24" si="2">IF(COUNTA(C31:C213)=0,"",AVERAGE(C31:C213))</f>
        <v/>
      </c>
      <c r="D24" s="8" t="str">
        <f t="shared" si="2"/>
        <v/>
      </c>
      <c r="E24" s="8" t="str">
        <f t="shared" si="2"/>
        <v/>
      </c>
      <c r="F24" s="8" t="str">
        <f t="shared" si="2"/>
        <v/>
      </c>
      <c r="G24" s="8" t="str">
        <f t="shared" si="2"/>
        <v/>
      </c>
      <c r="H24" s="8" t="str">
        <f t="shared" si="2"/>
        <v/>
      </c>
      <c r="I24" s="9" t="str">
        <f t="shared" si="2"/>
        <v/>
      </c>
    </row>
    <row r="25" spans="2:13" ht="14.4" customHeight="1" x14ac:dyDescent="0.3">
      <c r="B25" s="26" t="s">
        <v>17</v>
      </c>
      <c r="C25" s="15" t="e">
        <f>IF(OR(C20=0,C21=0,C24=0),0,C24-C19)</f>
        <v>#VALUE!</v>
      </c>
      <c r="D25" s="15" t="e">
        <f t="shared" ref="D25:I25" si="3">IF(OR(D20=0,D21=0,D24=0),0,D24-D19)</f>
        <v>#VALUE!</v>
      </c>
      <c r="E25" s="15" t="e">
        <f t="shared" si="3"/>
        <v>#VALUE!</v>
      </c>
      <c r="F25" s="15" t="e">
        <f t="shared" si="3"/>
        <v>#VALUE!</v>
      </c>
      <c r="G25" s="15" t="e">
        <f t="shared" si="3"/>
        <v>#VALUE!</v>
      </c>
      <c r="H25" s="15" t="e">
        <f t="shared" si="3"/>
        <v>#VALUE!</v>
      </c>
      <c r="I25" s="16" t="e">
        <f t="shared" si="3"/>
        <v>#VALUE!</v>
      </c>
    </row>
    <row r="26" spans="2:13" ht="14.4" customHeight="1" x14ac:dyDescent="0.3">
      <c r="B26" s="26" t="s">
        <v>18</v>
      </c>
      <c r="C26" s="15" t="str">
        <f t="shared" ref="C26:I26" si="4">IF(COUNTA(C31:C213)=0,"",STDEV(C31:C213))</f>
        <v/>
      </c>
      <c r="D26" s="15" t="str">
        <f t="shared" si="4"/>
        <v/>
      </c>
      <c r="E26" s="15" t="str">
        <f t="shared" si="4"/>
        <v/>
      </c>
      <c r="F26" s="15" t="str">
        <f t="shared" si="4"/>
        <v/>
      </c>
      <c r="G26" s="15" t="str">
        <f t="shared" si="4"/>
        <v/>
      </c>
      <c r="H26" s="15" t="str">
        <f t="shared" si="4"/>
        <v/>
      </c>
      <c r="I26" s="16" t="str">
        <f t="shared" si="4"/>
        <v/>
      </c>
      <c r="M26" s="17"/>
    </row>
    <row r="27" spans="2:13" ht="14.4" customHeight="1" x14ac:dyDescent="0.3">
      <c r="B27" s="26" t="s">
        <v>7</v>
      </c>
      <c r="C27" s="15" t="str">
        <f t="shared" ref="C27:I27" si="5">IF(COUNTA(C31:C213)=0,"",MAX(C31:C213))</f>
        <v/>
      </c>
      <c r="D27" s="15" t="str">
        <f t="shared" si="5"/>
        <v/>
      </c>
      <c r="E27" s="15" t="str">
        <f t="shared" si="5"/>
        <v/>
      </c>
      <c r="F27" s="15" t="str">
        <f t="shared" si="5"/>
        <v/>
      </c>
      <c r="G27" s="15" t="str">
        <f t="shared" si="5"/>
        <v/>
      </c>
      <c r="H27" s="15" t="str">
        <f t="shared" si="5"/>
        <v/>
      </c>
      <c r="I27" s="16" t="str">
        <f t="shared" si="5"/>
        <v/>
      </c>
      <c r="M27" s="17"/>
    </row>
    <row r="28" spans="2:13" ht="14.4" customHeight="1" thickBot="1" x14ac:dyDescent="0.35">
      <c r="B28" s="25" t="s">
        <v>6</v>
      </c>
      <c r="C28" s="13" t="str">
        <f t="shared" ref="C28:I28" si="6">IF(COUNTA(C31:C213)=0,"",MIN(C31:C213))</f>
        <v/>
      </c>
      <c r="D28" s="13" t="str">
        <f t="shared" si="6"/>
        <v/>
      </c>
      <c r="E28" s="13" t="str">
        <f t="shared" si="6"/>
        <v/>
      </c>
      <c r="F28" s="13" t="str">
        <f t="shared" si="6"/>
        <v/>
      </c>
      <c r="G28" s="13" t="str">
        <f t="shared" si="6"/>
        <v/>
      </c>
      <c r="H28" s="13" t="str">
        <f t="shared" si="6"/>
        <v/>
      </c>
      <c r="I28" s="14" t="str">
        <f t="shared" si="6"/>
        <v/>
      </c>
      <c r="M28" s="17"/>
    </row>
    <row r="29" spans="2:13" ht="14.4" customHeight="1" x14ac:dyDescent="0.3">
      <c r="B29" s="24" t="s">
        <v>19</v>
      </c>
      <c r="C29" s="4">
        <f t="shared" ref="C29:I29" si="7">COUNTIF(C31:C213,"&gt;"&amp;C22)</f>
        <v>0</v>
      </c>
      <c r="D29" s="4">
        <f t="shared" si="7"/>
        <v>0</v>
      </c>
      <c r="E29" s="4">
        <f t="shared" si="7"/>
        <v>0</v>
      </c>
      <c r="F29" s="4">
        <f t="shared" si="7"/>
        <v>0</v>
      </c>
      <c r="G29" s="4">
        <f t="shared" si="7"/>
        <v>0</v>
      </c>
      <c r="H29" s="4">
        <f t="shared" si="7"/>
        <v>0</v>
      </c>
      <c r="I29" s="5">
        <f t="shared" si="7"/>
        <v>0</v>
      </c>
      <c r="M29" s="17"/>
    </row>
    <row r="30" spans="2:13" ht="14.4" customHeight="1" thickBot="1" x14ac:dyDescent="0.35">
      <c r="B30" s="25" t="s">
        <v>20</v>
      </c>
      <c r="C30" s="6">
        <f t="shared" ref="C30:I30" si="8">COUNTIF(C31:C213,"&lt;"&amp;C23)</f>
        <v>0</v>
      </c>
      <c r="D30" s="6">
        <f t="shared" si="8"/>
        <v>0</v>
      </c>
      <c r="E30" s="6">
        <f t="shared" si="8"/>
        <v>0</v>
      </c>
      <c r="F30" s="6">
        <f t="shared" si="8"/>
        <v>0</v>
      </c>
      <c r="G30" s="6">
        <f t="shared" si="8"/>
        <v>0</v>
      </c>
      <c r="H30" s="6">
        <f t="shared" si="8"/>
        <v>0</v>
      </c>
      <c r="I30" s="27">
        <f t="shared" si="8"/>
        <v>0</v>
      </c>
      <c r="M30" s="17"/>
    </row>
    <row r="31" spans="2:13" ht="14.4" customHeight="1" x14ac:dyDescent="0.3">
      <c r="B31" s="7">
        <v>1</v>
      </c>
      <c r="C31" s="30"/>
      <c r="D31" s="31"/>
      <c r="E31" s="31"/>
      <c r="F31" s="31"/>
      <c r="G31" s="31"/>
      <c r="H31" s="31"/>
      <c r="I31" s="31"/>
      <c r="M31" s="17"/>
    </row>
    <row r="32" spans="2:13" ht="14.4" customHeight="1" x14ac:dyDescent="0.3">
      <c r="B32" s="2">
        <v>2</v>
      </c>
      <c r="C32" s="28"/>
      <c r="D32" s="29"/>
      <c r="E32" s="29"/>
      <c r="F32" s="29"/>
      <c r="G32" s="29"/>
      <c r="H32" s="29"/>
      <c r="I32" s="29"/>
      <c r="M32" s="17"/>
    </row>
    <row r="33" spans="2:13" ht="14.4" customHeight="1" x14ac:dyDescent="0.3">
      <c r="B33" s="2">
        <v>3</v>
      </c>
      <c r="C33" s="28"/>
      <c r="D33" s="29"/>
      <c r="E33" s="29"/>
      <c r="F33" s="29"/>
      <c r="G33" s="29"/>
      <c r="H33" s="29"/>
      <c r="I33" s="29"/>
      <c r="M33" s="17"/>
    </row>
    <row r="34" spans="2:13" ht="14.4" customHeight="1" x14ac:dyDescent="0.3">
      <c r="B34" s="2">
        <v>4</v>
      </c>
      <c r="C34" s="28"/>
      <c r="D34" s="29"/>
      <c r="E34" s="29"/>
      <c r="F34" s="29"/>
      <c r="G34" s="29"/>
      <c r="H34" s="29"/>
      <c r="I34" s="29"/>
      <c r="M34" s="17"/>
    </row>
    <row r="35" spans="2:13" ht="14.4" customHeight="1" x14ac:dyDescent="0.3">
      <c r="B35" s="2">
        <v>5</v>
      </c>
      <c r="C35" s="28"/>
      <c r="D35" s="29"/>
      <c r="E35" s="29"/>
      <c r="F35" s="29"/>
      <c r="G35" s="29"/>
      <c r="H35" s="29"/>
      <c r="I35" s="29"/>
      <c r="M35" s="17"/>
    </row>
    <row r="36" spans="2:13" ht="14.4" customHeight="1" x14ac:dyDescent="0.3">
      <c r="B36" s="2">
        <v>6</v>
      </c>
      <c r="C36" s="28"/>
      <c r="D36" s="29"/>
      <c r="E36" s="29"/>
      <c r="F36" s="29"/>
      <c r="G36" s="29"/>
      <c r="H36" s="29"/>
      <c r="I36" s="29"/>
    </row>
    <row r="37" spans="2:13" ht="14.4" customHeight="1" x14ac:dyDescent="0.3">
      <c r="B37" s="2">
        <v>7</v>
      </c>
      <c r="C37" s="28"/>
      <c r="D37" s="29"/>
      <c r="E37" s="29"/>
      <c r="F37" s="29"/>
      <c r="G37" s="29"/>
      <c r="H37" s="29"/>
      <c r="I37" s="29"/>
    </row>
    <row r="38" spans="2:13" ht="14.4" customHeight="1" x14ac:dyDescent="0.3">
      <c r="B38" s="2">
        <v>8</v>
      </c>
      <c r="C38" s="28"/>
      <c r="D38" s="29"/>
      <c r="E38" s="29"/>
      <c r="F38" s="29"/>
      <c r="G38" s="29"/>
      <c r="H38" s="29"/>
      <c r="I38" s="29"/>
    </row>
    <row r="39" spans="2:13" ht="14.4" customHeight="1" x14ac:dyDescent="0.3">
      <c r="B39" s="2">
        <v>9</v>
      </c>
      <c r="C39" s="28"/>
      <c r="D39" s="29"/>
      <c r="E39" s="29"/>
      <c r="F39" s="29"/>
      <c r="G39" s="29"/>
      <c r="H39" s="29"/>
      <c r="I39" s="29"/>
    </row>
    <row r="40" spans="2:13" x14ac:dyDescent="0.3">
      <c r="B40" s="2">
        <v>10</v>
      </c>
      <c r="C40" s="28"/>
      <c r="D40" s="29"/>
      <c r="E40" s="29"/>
      <c r="F40" s="29"/>
      <c r="G40" s="29"/>
      <c r="H40" s="29"/>
      <c r="I40" s="29"/>
    </row>
  </sheetData>
  <mergeCells count="5">
    <mergeCell ref="B16:B18"/>
    <mergeCell ref="C16:I16"/>
    <mergeCell ref="C17:F17"/>
    <mergeCell ref="G17:H17"/>
    <mergeCell ref="I17:I18"/>
  </mergeCells>
  <conditionalFormatting sqref="C25:I25">
    <cfRule type="cellIs" dxfId="1" priority="1" operator="greaterThan">
      <formula>$C$20</formula>
    </cfRule>
    <cfRule type="cellIs" dxfId="0" priority="2" operator="lessThan">
      <formula>$C$21</formula>
    </cfRule>
    <cfRule type="dataBar" priority="3">
      <dataBar showValue="0">
        <cfvo type="formula" val="$C$21"/>
        <cfvo type="formula" val="$C$20"/>
        <color rgb="FF92D050"/>
      </dataBar>
      <extLst>
        <ext xmlns:x14="http://schemas.microsoft.com/office/spreadsheetml/2009/9/main" uri="{B025F937-C7B1-47D3-B67F-A62EFF666E3E}">
          <x14:id>{5914C815-A995-4805-9652-2A0ADD6A05A6}</x14:id>
        </ext>
      </extLst>
    </cfRule>
  </conditionalFormatting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14C815-A995-4805-9652-2A0ADD6A05A6}">
            <x14:dataBar minLength="0" maxLength="100" gradient="0">
              <x14:cfvo type="formula">
                <xm:f>$C$21</xm:f>
              </x14:cfvo>
              <x14:cfvo type="formula">
                <xm:f>$C$20</xm:f>
              </x14:cfvo>
              <x14:negativeFillColor rgb="FF00B0F0"/>
              <x14:axisColor rgb="FF000000"/>
            </x14:dataBar>
          </x14:cfRule>
          <xm:sqref>C25:I25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41D0-37CF-428C-81BB-D2EA6BB7BAB4}">
  <dimension ref="B1:Q43"/>
  <sheetViews>
    <sheetView zoomScale="115" zoomScaleNormal="115" workbookViewId="0">
      <selection activeCell="D35" sqref="D35"/>
    </sheetView>
  </sheetViews>
  <sheetFormatPr defaultRowHeight="14.4" x14ac:dyDescent="0.3"/>
  <sheetData>
    <row r="1" spans="2:17" x14ac:dyDescent="0.3">
      <c r="B1" t="s">
        <v>37</v>
      </c>
    </row>
    <row r="4" spans="2:17" x14ac:dyDescent="0.3">
      <c r="B4" t="s">
        <v>43</v>
      </c>
      <c r="L4" t="s">
        <v>45</v>
      </c>
    </row>
    <row r="5" spans="2:17" x14ac:dyDescent="0.3">
      <c r="B5" s="42">
        <v>1</v>
      </c>
      <c r="C5" s="42">
        <v>13</v>
      </c>
      <c r="D5" s="42">
        <v>25</v>
      </c>
      <c r="E5" s="42">
        <v>37</v>
      </c>
      <c r="F5" s="42">
        <v>49</v>
      </c>
      <c r="G5" s="42">
        <v>61</v>
      </c>
      <c r="H5" s="42">
        <v>73</v>
      </c>
      <c r="I5" s="42">
        <v>85</v>
      </c>
      <c r="L5" s="42">
        <v>1</v>
      </c>
      <c r="M5" s="42">
        <v>13</v>
      </c>
      <c r="N5" s="42">
        <v>25</v>
      </c>
      <c r="O5" s="42">
        <v>37</v>
      </c>
      <c r="P5" s="42">
        <v>49</v>
      </c>
      <c r="Q5" s="42">
        <v>61</v>
      </c>
    </row>
    <row r="6" spans="2:17" x14ac:dyDescent="0.3">
      <c r="B6" s="42">
        <v>2</v>
      </c>
      <c r="C6" s="42">
        <v>14</v>
      </c>
      <c r="D6" s="42">
        <v>26</v>
      </c>
      <c r="E6" s="42">
        <v>38</v>
      </c>
      <c r="F6" s="42">
        <v>50</v>
      </c>
      <c r="G6" s="42">
        <v>62</v>
      </c>
      <c r="H6" s="42">
        <v>74</v>
      </c>
      <c r="I6" s="42">
        <v>86</v>
      </c>
      <c r="L6" s="42">
        <v>2</v>
      </c>
      <c r="M6" s="42">
        <v>14</v>
      </c>
      <c r="N6" s="42">
        <v>26</v>
      </c>
      <c r="O6" s="42">
        <v>38</v>
      </c>
      <c r="P6" s="42">
        <v>50</v>
      </c>
      <c r="Q6" s="42">
        <v>62</v>
      </c>
    </row>
    <row r="7" spans="2:17" x14ac:dyDescent="0.3">
      <c r="B7" s="42">
        <v>3</v>
      </c>
      <c r="C7" s="42">
        <v>15</v>
      </c>
      <c r="D7" s="42">
        <v>27</v>
      </c>
      <c r="E7" s="42">
        <v>39</v>
      </c>
      <c r="F7" s="42">
        <v>51</v>
      </c>
      <c r="G7" s="42">
        <v>63</v>
      </c>
      <c r="H7" s="42">
        <v>75</v>
      </c>
      <c r="I7" s="42">
        <v>87</v>
      </c>
      <c r="L7" s="42">
        <v>3</v>
      </c>
      <c r="M7" s="42">
        <v>15</v>
      </c>
      <c r="N7" s="42">
        <v>27</v>
      </c>
      <c r="O7" s="42">
        <v>39</v>
      </c>
      <c r="P7" s="42">
        <v>51</v>
      </c>
      <c r="Q7" s="42">
        <v>63</v>
      </c>
    </row>
    <row r="8" spans="2:17" x14ac:dyDescent="0.3">
      <c r="B8" s="42">
        <v>4</v>
      </c>
      <c r="C8" s="42">
        <v>16</v>
      </c>
      <c r="D8" s="42">
        <v>28</v>
      </c>
      <c r="E8" s="42">
        <v>40</v>
      </c>
      <c r="F8" s="42">
        <v>52</v>
      </c>
      <c r="G8" s="42">
        <v>64</v>
      </c>
      <c r="H8" s="42">
        <v>76</v>
      </c>
      <c r="I8" s="42">
        <v>88</v>
      </c>
      <c r="L8" s="42">
        <v>4</v>
      </c>
      <c r="M8" s="42">
        <v>16</v>
      </c>
      <c r="N8" s="42">
        <v>28</v>
      </c>
      <c r="O8" s="42">
        <v>40</v>
      </c>
      <c r="P8" s="42">
        <v>52</v>
      </c>
      <c r="Q8" s="42">
        <v>64</v>
      </c>
    </row>
    <row r="9" spans="2:17" x14ac:dyDescent="0.3">
      <c r="B9" s="42">
        <v>5</v>
      </c>
      <c r="C9" s="42">
        <v>17</v>
      </c>
      <c r="D9" s="42">
        <v>29</v>
      </c>
      <c r="E9" s="42">
        <v>41</v>
      </c>
      <c r="F9" s="42">
        <v>53</v>
      </c>
      <c r="G9" s="42">
        <v>65</v>
      </c>
      <c r="H9" s="42">
        <v>77</v>
      </c>
      <c r="I9" s="42">
        <v>89</v>
      </c>
      <c r="L9" s="42">
        <v>5</v>
      </c>
      <c r="M9" s="42">
        <v>17</v>
      </c>
      <c r="N9" s="42">
        <v>29</v>
      </c>
      <c r="O9" s="42">
        <v>41</v>
      </c>
      <c r="P9" s="42">
        <v>53</v>
      </c>
      <c r="Q9" s="42">
        <v>65</v>
      </c>
    </row>
    <row r="10" spans="2:17" x14ac:dyDescent="0.3">
      <c r="B10" s="42">
        <v>6</v>
      </c>
      <c r="C10" s="42">
        <v>18</v>
      </c>
      <c r="D10" s="42">
        <v>30</v>
      </c>
      <c r="E10" s="42">
        <v>42</v>
      </c>
      <c r="F10" s="42">
        <v>54</v>
      </c>
      <c r="G10" s="42">
        <v>66</v>
      </c>
      <c r="H10" s="42">
        <v>78</v>
      </c>
      <c r="I10" s="42">
        <v>90</v>
      </c>
      <c r="L10" s="42">
        <v>6</v>
      </c>
      <c r="M10" s="42">
        <v>18</v>
      </c>
      <c r="N10" s="42">
        <v>30</v>
      </c>
      <c r="O10" s="42">
        <v>42</v>
      </c>
      <c r="P10" s="42">
        <v>54</v>
      </c>
      <c r="Q10" s="42">
        <v>66</v>
      </c>
    </row>
    <row r="11" spans="2:17" x14ac:dyDescent="0.3">
      <c r="B11" s="42">
        <v>7</v>
      </c>
      <c r="C11" s="42">
        <v>19</v>
      </c>
      <c r="D11" s="42">
        <v>31</v>
      </c>
      <c r="E11" s="42">
        <v>43</v>
      </c>
      <c r="F11" s="42">
        <v>55</v>
      </c>
      <c r="G11" s="42">
        <v>67</v>
      </c>
      <c r="H11" s="42">
        <v>79</v>
      </c>
      <c r="I11" s="42">
        <v>91</v>
      </c>
      <c r="L11" s="42">
        <v>7</v>
      </c>
      <c r="M11" s="42">
        <v>19</v>
      </c>
      <c r="N11" s="42">
        <v>31</v>
      </c>
      <c r="O11" s="42">
        <v>43</v>
      </c>
      <c r="P11" s="42">
        <v>55</v>
      </c>
      <c r="Q11" s="42">
        <v>67</v>
      </c>
    </row>
    <row r="12" spans="2:17" x14ac:dyDescent="0.3">
      <c r="B12" s="42">
        <v>8</v>
      </c>
      <c r="C12" s="42">
        <v>20</v>
      </c>
      <c r="D12" s="42">
        <v>32</v>
      </c>
      <c r="E12" s="42">
        <v>44</v>
      </c>
      <c r="F12" s="42">
        <v>56</v>
      </c>
      <c r="G12" s="42">
        <v>68</v>
      </c>
      <c r="H12" s="42">
        <v>80</v>
      </c>
      <c r="I12" s="42">
        <v>92</v>
      </c>
      <c r="L12" s="42">
        <v>8</v>
      </c>
      <c r="M12" s="42">
        <v>20</v>
      </c>
      <c r="N12" s="42">
        <v>32</v>
      </c>
      <c r="O12" s="42">
        <v>44</v>
      </c>
      <c r="P12" s="42">
        <v>56</v>
      </c>
      <c r="Q12" s="42">
        <v>68</v>
      </c>
    </row>
    <row r="13" spans="2:17" x14ac:dyDescent="0.3">
      <c r="B13" s="42">
        <v>9</v>
      </c>
      <c r="C13" s="42">
        <v>21</v>
      </c>
      <c r="D13" s="42">
        <v>33</v>
      </c>
      <c r="E13" s="42">
        <v>45</v>
      </c>
      <c r="F13" s="42">
        <v>57</v>
      </c>
      <c r="G13" s="42">
        <v>69</v>
      </c>
      <c r="H13" s="42">
        <v>81</v>
      </c>
      <c r="I13" s="42">
        <v>93</v>
      </c>
      <c r="L13" s="42">
        <v>9</v>
      </c>
      <c r="M13" s="42">
        <v>21</v>
      </c>
      <c r="N13" s="42">
        <v>33</v>
      </c>
      <c r="O13" s="42">
        <v>45</v>
      </c>
      <c r="P13" s="42">
        <v>57</v>
      </c>
      <c r="Q13" s="42">
        <v>69</v>
      </c>
    </row>
    <row r="14" spans="2:17" x14ac:dyDescent="0.3">
      <c r="B14" s="42">
        <v>10</v>
      </c>
      <c r="C14" s="42">
        <v>22</v>
      </c>
      <c r="D14" s="42">
        <v>34</v>
      </c>
      <c r="E14" s="42">
        <v>46</v>
      </c>
      <c r="F14" s="42">
        <v>58</v>
      </c>
      <c r="G14" s="42">
        <v>70</v>
      </c>
      <c r="H14" s="42">
        <v>82</v>
      </c>
      <c r="I14" s="42">
        <v>94</v>
      </c>
      <c r="L14" s="42">
        <v>10</v>
      </c>
      <c r="M14" s="42">
        <v>22</v>
      </c>
      <c r="N14" s="42">
        <v>34</v>
      </c>
      <c r="O14" s="42">
        <v>46</v>
      </c>
      <c r="P14" s="42">
        <v>58</v>
      </c>
      <c r="Q14" s="42">
        <v>70</v>
      </c>
    </row>
    <row r="15" spans="2:17" x14ac:dyDescent="0.3">
      <c r="B15" s="42">
        <v>11</v>
      </c>
      <c r="C15" s="42">
        <v>23</v>
      </c>
      <c r="D15" s="42">
        <v>35</v>
      </c>
      <c r="E15" s="42">
        <v>47</v>
      </c>
      <c r="F15" s="42">
        <v>59</v>
      </c>
      <c r="G15" s="42">
        <v>71</v>
      </c>
      <c r="H15" s="42">
        <v>83</v>
      </c>
      <c r="I15" s="42">
        <v>95</v>
      </c>
      <c r="L15" s="42">
        <v>11</v>
      </c>
      <c r="M15" s="42">
        <v>23</v>
      </c>
      <c r="N15" s="42">
        <v>35</v>
      </c>
      <c r="O15" s="42">
        <v>47</v>
      </c>
      <c r="P15" s="42">
        <v>59</v>
      </c>
      <c r="Q15" s="42">
        <v>71</v>
      </c>
    </row>
    <row r="16" spans="2:17" x14ac:dyDescent="0.3">
      <c r="B16" s="42">
        <v>12</v>
      </c>
      <c r="C16" s="42">
        <v>24</v>
      </c>
      <c r="D16" s="42">
        <v>36</v>
      </c>
      <c r="E16" s="42">
        <v>48</v>
      </c>
      <c r="F16" s="42">
        <v>60</v>
      </c>
      <c r="G16" s="42">
        <v>72</v>
      </c>
      <c r="H16" s="42">
        <v>84</v>
      </c>
      <c r="I16" s="42">
        <v>96</v>
      </c>
      <c r="L16" s="42">
        <v>12</v>
      </c>
      <c r="M16" s="42">
        <v>24</v>
      </c>
      <c r="N16" s="42">
        <v>36</v>
      </c>
      <c r="O16" s="42">
        <v>48</v>
      </c>
      <c r="P16" s="42">
        <v>60</v>
      </c>
      <c r="Q16" s="42">
        <v>72</v>
      </c>
    </row>
    <row r="19" spans="2:17" x14ac:dyDescent="0.3">
      <c r="B19" t="s">
        <v>44</v>
      </c>
      <c r="L19" t="s">
        <v>47</v>
      </c>
    </row>
    <row r="20" spans="2:17" x14ac:dyDescent="0.3">
      <c r="B20" s="42">
        <v>85</v>
      </c>
      <c r="C20" s="42">
        <v>73</v>
      </c>
      <c r="D20" s="42">
        <v>61</v>
      </c>
      <c r="E20" s="42">
        <v>49</v>
      </c>
      <c r="F20" s="42">
        <v>37</v>
      </c>
      <c r="G20" s="42">
        <v>25</v>
      </c>
      <c r="H20" s="42">
        <v>13</v>
      </c>
      <c r="I20" s="42">
        <v>1</v>
      </c>
      <c r="L20" s="42">
        <v>61</v>
      </c>
      <c r="M20" s="42">
        <v>49</v>
      </c>
      <c r="N20" s="42">
        <v>37</v>
      </c>
      <c r="O20" s="42">
        <v>25</v>
      </c>
      <c r="P20" s="42">
        <v>13</v>
      </c>
      <c r="Q20" s="42">
        <v>1</v>
      </c>
    </row>
    <row r="21" spans="2:17" x14ac:dyDescent="0.3">
      <c r="B21" s="42">
        <v>86</v>
      </c>
      <c r="C21" s="42">
        <v>74</v>
      </c>
      <c r="D21" s="42">
        <v>62</v>
      </c>
      <c r="E21" s="42">
        <v>50</v>
      </c>
      <c r="F21" s="42">
        <v>38</v>
      </c>
      <c r="G21" s="42">
        <v>26</v>
      </c>
      <c r="H21" s="42">
        <v>14</v>
      </c>
      <c r="I21" s="42">
        <v>2</v>
      </c>
      <c r="L21" s="42">
        <v>62</v>
      </c>
      <c r="M21" s="42">
        <v>50</v>
      </c>
      <c r="N21" s="42">
        <v>38</v>
      </c>
      <c r="O21" s="42">
        <v>26</v>
      </c>
      <c r="P21" s="42">
        <v>14</v>
      </c>
      <c r="Q21" s="42">
        <v>2</v>
      </c>
    </row>
    <row r="22" spans="2:17" x14ac:dyDescent="0.3">
      <c r="B22" s="42">
        <v>87</v>
      </c>
      <c r="C22" s="42">
        <v>75</v>
      </c>
      <c r="D22" s="42">
        <v>63</v>
      </c>
      <c r="E22" s="42">
        <v>51</v>
      </c>
      <c r="F22" s="42">
        <v>39</v>
      </c>
      <c r="G22" s="42">
        <v>27</v>
      </c>
      <c r="H22" s="42">
        <v>15</v>
      </c>
      <c r="I22" s="42">
        <v>3</v>
      </c>
      <c r="L22" s="42">
        <v>63</v>
      </c>
      <c r="M22" s="42">
        <v>51</v>
      </c>
      <c r="N22" s="42">
        <v>39</v>
      </c>
      <c r="O22" s="42">
        <v>27</v>
      </c>
      <c r="P22" s="42">
        <v>15</v>
      </c>
      <c r="Q22" s="42">
        <v>3</v>
      </c>
    </row>
    <row r="23" spans="2:17" x14ac:dyDescent="0.3">
      <c r="B23" s="42">
        <v>88</v>
      </c>
      <c r="C23" s="42">
        <v>76</v>
      </c>
      <c r="D23" s="42">
        <v>64</v>
      </c>
      <c r="E23" s="42">
        <v>52</v>
      </c>
      <c r="F23" s="42">
        <v>40</v>
      </c>
      <c r="G23" s="42">
        <v>28</v>
      </c>
      <c r="H23" s="42">
        <v>16</v>
      </c>
      <c r="I23" s="42">
        <v>4</v>
      </c>
      <c r="L23" s="42">
        <v>64</v>
      </c>
      <c r="M23" s="42">
        <v>52</v>
      </c>
      <c r="N23" s="42">
        <v>40</v>
      </c>
      <c r="O23" s="42">
        <v>28</v>
      </c>
      <c r="P23" s="42">
        <v>16</v>
      </c>
      <c r="Q23" s="42">
        <v>4</v>
      </c>
    </row>
    <row r="24" spans="2:17" x14ac:dyDescent="0.3">
      <c r="B24" s="42">
        <v>89</v>
      </c>
      <c r="C24" s="42">
        <v>77</v>
      </c>
      <c r="D24" s="42">
        <v>65</v>
      </c>
      <c r="E24" s="42">
        <v>53</v>
      </c>
      <c r="F24" s="42">
        <v>41</v>
      </c>
      <c r="G24" s="42">
        <v>29</v>
      </c>
      <c r="H24" s="42">
        <v>17</v>
      </c>
      <c r="I24" s="42">
        <v>5</v>
      </c>
      <c r="L24" s="42">
        <v>65</v>
      </c>
      <c r="M24" s="42">
        <v>53</v>
      </c>
      <c r="N24" s="42">
        <v>41</v>
      </c>
      <c r="O24" s="42">
        <v>29</v>
      </c>
      <c r="P24" s="42">
        <v>17</v>
      </c>
      <c r="Q24" s="42">
        <v>5</v>
      </c>
    </row>
    <row r="25" spans="2:17" x14ac:dyDescent="0.3">
      <c r="B25" s="42">
        <v>90</v>
      </c>
      <c r="C25" s="42">
        <v>78</v>
      </c>
      <c r="D25" s="42">
        <v>66</v>
      </c>
      <c r="E25" s="42">
        <v>54</v>
      </c>
      <c r="F25" s="42">
        <v>42</v>
      </c>
      <c r="G25" s="42">
        <v>30</v>
      </c>
      <c r="H25" s="42">
        <v>18</v>
      </c>
      <c r="I25" s="42">
        <v>6</v>
      </c>
      <c r="L25" s="42">
        <v>66</v>
      </c>
      <c r="M25" s="42">
        <v>54</v>
      </c>
      <c r="N25" s="42">
        <v>42</v>
      </c>
      <c r="O25" s="42">
        <v>30</v>
      </c>
      <c r="P25" s="42">
        <v>18</v>
      </c>
      <c r="Q25" s="42">
        <v>6</v>
      </c>
    </row>
    <row r="26" spans="2:17" x14ac:dyDescent="0.3">
      <c r="B26" s="42">
        <v>91</v>
      </c>
      <c r="C26" s="42">
        <v>79</v>
      </c>
      <c r="D26" s="42">
        <v>67</v>
      </c>
      <c r="E26" s="42">
        <v>55</v>
      </c>
      <c r="F26" s="42">
        <v>43</v>
      </c>
      <c r="G26" s="42">
        <v>31</v>
      </c>
      <c r="H26" s="42">
        <v>19</v>
      </c>
      <c r="I26" s="42">
        <v>7</v>
      </c>
      <c r="L26" s="42">
        <v>67</v>
      </c>
      <c r="M26" s="42">
        <v>55</v>
      </c>
      <c r="N26" s="42">
        <v>43</v>
      </c>
      <c r="O26" s="42">
        <v>31</v>
      </c>
      <c r="P26" s="42">
        <v>19</v>
      </c>
      <c r="Q26" s="42">
        <v>7</v>
      </c>
    </row>
    <row r="27" spans="2:17" x14ac:dyDescent="0.3">
      <c r="B27" s="42">
        <v>92</v>
      </c>
      <c r="C27" s="42">
        <v>80</v>
      </c>
      <c r="D27" s="42">
        <v>68</v>
      </c>
      <c r="E27" s="42">
        <v>56</v>
      </c>
      <c r="F27" s="42">
        <v>44</v>
      </c>
      <c r="G27" s="42">
        <v>32</v>
      </c>
      <c r="H27" s="42">
        <v>20</v>
      </c>
      <c r="I27" s="42">
        <v>8</v>
      </c>
      <c r="L27" s="42">
        <v>68</v>
      </c>
      <c r="M27" s="42">
        <v>56</v>
      </c>
      <c r="N27" s="42">
        <v>44</v>
      </c>
      <c r="O27" s="42">
        <v>32</v>
      </c>
      <c r="P27" s="42">
        <v>20</v>
      </c>
      <c r="Q27" s="42">
        <v>8</v>
      </c>
    </row>
    <row r="28" spans="2:17" x14ac:dyDescent="0.3">
      <c r="B28" s="42">
        <v>93</v>
      </c>
      <c r="C28" s="42">
        <v>81</v>
      </c>
      <c r="D28" s="42">
        <v>69</v>
      </c>
      <c r="E28" s="42">
        <v>57</v>
      </c>
      <c r="F28" s="42">
        <v>45</v>
      </c>
      <c r="G28" s="42">
        <v>33</v>
      </c>
      <c r="H28" s="42">
        <v>21</v>
      </c>
      <c r="I28" s="42">
        <v>9</v>
      </c>
      <c r="L28" s="42">
        <v>69</v>
      </c>
      <c r="M28" s="42">
        <v>57</v>
      </c>
      <c r="N28" s="42">
        <v>45</v>
      </c>
      <c r="O28" s="42">
        <v>33</v>
      </c>
      <c r="P28" s="42">
        <v>21</v>
      </c>
      <c r="Q28" s="42">
        <v>9</v>
      </c>
    </row>
    <row r="29" spans="2:17" x14ac:dyDescent="0.3">
      <c r="B29" s="42">
        <v>94</v>
      </c>
      <c r="C29" s="42">
        <v>82</v>
      </c>
      <c r="D29" s="42">
        <v>70</v>
      </c>
      <c r="E29" s="42">
        <v>58</v>
      </c>
      <c r="F29" s="42">
        <v>46</v>
      </c>
      <c r="G29" s="42">
        <v>34</v>
      </c>
      <c r="H29" s="42">
        <v>22</v>
      </c>
      <c r="I29" s="42">
        <v>10</v>
      </c>
      <c r="L29" s="42">
        <v>70</v>
      </c>
      <c r="M29" s="42">
        <v>58</v>
      </c>
      <c r="N29" s="42">
        <v>46</v>
      </c>
      <c r="O29" s="42">
        <v>34</v>
      </c>
      <c r="P29" s="42">
        <v>22</v>
      </c>
      <c r="Q29" s="42">
        <v>10</v>
      </c>
    </row>
    <row r="30" spans="2:17" x14ac:dyDescent="0.3">
      <c r="B30" s="42">
        <v>95</v>
      </c>
      <c r="C30" s="42">
        <v>83</v>
      </c>
      <c r="D30" s="42">
        <v>71</v>
      </c>
      <c r="E30" s="42">
        <v>59</v>
      </c>
      <c r="F30" s="42">
        <v>47</v>
      </c>
      <c r="G30" s="42">
        <v>35</v>
      </c>
      <c r="H30" s="42">
        <v>23</v>
      </c>
      <c r="I30" s="42">
        <v>11</v>
      </c>
      <c r="L30" s="42">
        <v>71</v>
      </c>
      <c r="M30" s="42">
        <v>59</v>
      </c>
      <c r="N30" s="42">
        <v>47</v>
      </c>
      <c r="O30" s="42">
        <v>35</v>
      </c>
      <c r="P30" s="42">
        <v>23</v>
      </c>
      <c r="Q30" s="42">
        <v>11</v>
      </c>
    </row>
    <row r="31" spans="2:17" x14ac:dyDescent="0.3">
      <c r="B31" s="42">
        <v>96</v>
      </c>
      <c r="C31" s="42">
        <v>84</v>
      </c>
      <c r="D31" s="42">
        <v>72</v>
      </c>
      <c r="E31" s="42">
        <v>60</v>
      </c>
      <c r="F31" s="42">
        <v>48</v>
      </c>
      <c r="G31" s="42">
        <v>36</v>
      </c>
      <c r="H31" s="42">
        <v>24</v>
      </c>
      <c r="I31" s="42">
        <v>12</v>
      </c>
      <c r="L31" s="42">
        <v>72</v>
      </c>
      <c r="M31" s="42">
        <v>60</v>
      </c>
      <c r="N31" s="42">
        <v>48</v>
      </c>
      <c r="O31" s="42">
        <v>36</v>
      </c>
      <c r="P31" s="42">
        <v>24</v>
      </c>
      <c r="Q31" s="42">
        <v>12</v>
      </c>
    </row>
    <row r="34" spans="2:9" x14ac:dyDescent="0.3">
      <c r="B34" t="s">
        <v>46</v>
      </c>
      <c r="D34" t="s">
        <v>36</v>
      </c>
    </row>
    <row r="35" spans="2:9" x14ac:dyDescent="0.3">
      <c r="B35" s="42">
        <v>1</v>
      </c>
      <c r="C35" s="42">
        <v>10</v>
      </c>
      <c r="D35" s="42">
        <v>19</v>
      </c>
      <c r="E35" s="42">
        <v>28</v>
      </c>
      <c r="F35" s="42">
        <v>37</v>
      </c>
      <c r="G35" s="42">
        <v>46</v>
      </c>
      <c r="H35" s="42">
        <v>55</v>
      </c>
      <c r="I35" s="42">
        <v>64</v>
      </c>
    </row>
    <row r="36" spans="2:9" x14ac:dyDescent="0.3">
      <c r="B36" s="42">
        <v>2</v>
      </c>
      <c r="C36" s="42">
        <v>11</v>
      </c>
      <c r="D36" s="42">
        <v>20</v>
      </c>
      <c r="E36" s="42">
        <v>29</v>
      </c>
      <c r="F36" s="42">
        <v>38</v>
      </c>
      <c r="G36" s="42">
        <v>47</v>
      </c>
      <c r="H36" s="42">
        <v>56</v>
      </c>
      <c r="I36" s="42">
        <v>65</v>
      </c>
    </row>
    <row r="37" spans="2:9" x14ac:dyDescent="0.3">
      <c r="B37" s="42">
        <v>3</v>
      </c>
      <c r="C37" s="42">
        <v>12</v>
      </c>
      <c r="D37" s="42">
        <v>21</v>
      </c>
      <c r="E37" s="42">
        <v>30</v>
      </c>
      <c r="F37" s="42">
        <v>39</v>
      </c>
      <c r="G37" s="42">
        <v>48</v>
      </c>
      <c r="H37" s="42">
        <v>57</v>
      </c>
      <c r="I37" s="42">
        <v>66</v>
      </c>
    </row>
    <row r="38" spans="2:9" x14ac:dyDescent="0.3">
      <c r="B38" s="42">
        <v>4</v>
      </c>
      <c r="C38" s="42">
        <v>13</v>
      </c>
      <c r="D38" s="42">
        <v>22</v>
      </c>
      <c r="E38" s="42">
        <v>31</v>
      </c>
      <c r="F38" s="42">
        <v>40</v>
      </c>
      <c r="G38" s="42">
        <v>49</v>
      </c>
      <c r="H38" s="42">
        <v>58</v>
      </c>
      <c r="I38" s="42">
        <v>67</v>
      </c>
    </row>
    <row r="39" spans="2:9" x14ac:dyDescent="0.3">
      <c r="B39" s="42">
        <v>5</v>
      </c>
      <c r="C39" s="42">
        <v>14</v>
      </c>
      <c r="D39" s="42">
        <v>23</v>
      </c>
      <c r="E39" s="42">
        <v>32</v>
      </c>
      <c r="F39" s="42">
        <v>41</v>
      </c>
      <c r="G39" s="42">
        <v>50</v>
      </c>
      <c r="H39" s="42">
        <v>59</v>
      </c>
      <c r="I39" s="42">
        <v>68</v>
      </c>
    </row>
    <row r="40" spans="2:9" x14ac:dyDescent="0.3">
      <c r="B40" s="42">
        <v>6</v>
      </c>
      <c r="C40" s="42">
        <v>15</v>
      </c>
      <c r="D40" s="42">
        <v>24</v>
      </c>
      <c r="E40" s="42">
        <v>33</v>
      </c>
      <c r="F40" s="42">
        <v>42</v>
      </c>
      <c r="G40" s="42">
        <v>51</v>
      </c>
      <c r="H40" s="42">
        <v>60</v>
      </c>
      <c r="I40" s="42">
        <v>69</v>
      </c>
    </row>
    <row r="41" spans="2:9" x14ac:dyDescent="0.3">
      <c r="B41" s="42">
        <v>7</v>
      </c>
      <c r="C41" s="42">
        <v>16</v>
      </c>
      <c r="D41" s="42">
        <v>25</v>
      </c>
      <c r="E41" s="42">
        <v>34</v>
      </c>
      <c r="F41" s="42">
        <v>43</v>
      </c>
      <c r="G41" s="42">
        <v>52</v>
      </c>
      <c r="H41" s="42">
        <v>61</v>
      </c>
      <c r="I41" s="42">
        <v>70</v>
      </c>
    </row>
    <row r="42" spans="2:9" x14ac:dyDescent="0.3">
      <c r="B42" s="42">
        <v>8</v>
      </c>
      <c r="C42" s="42">
        <v>17</v>
      </c>
      <c r="D42" s="42">
        <v>26</v>
      </c>
      <c r="E42" s="42">
        <v>35</v>
      </c>
      <c r="F42" s="42">
        <v>44</v>
      </c>
      <c r="G42" s="42">
        <v>53</v>
      </c>
      <c r="H42" s="42">
        <v>62</v>
      </c>
      <c r="I42" s="42">
        <v>71</v>
      </c>
    </row>
    <row r="43" spans="2:9" x14ac:dyDescent="0.3">
      <c r="B43" s="42">
        <v>9</v>
      </c>
      <c r="C43" s="42">
        <v>18</v>
      </c>
      <c r="D43" s="42">
        <v>27</v>
      </c>
      <c r="E43" s="42">
        <v>36</v>
      </c>
      <c r="F43" s="42">
        <v>45</v>
      </c>
      <c r="G43" s="42">
        <v>54</v>
      </c>
      <c r="H43" s="42">
        <v>63</v>
      </c>
      <c r="I43" s="4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TT measurements</vt:lpstr>
      <vt:lpstr>DIAMETERS</vt:lpstr>
      <vt:lpstr>Cavity chablon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Andzejus Buinovskis</dc:creator>
  <cp:lastModifiedBy>Andzejus Buinovskis</cp:lastModifiedBy>
  <dcterms:created xsi:type="dcterms:W3CDTF">2015-06-05T18:17:20Z</dcterms:created>
  <dcterms:modified xsi:type="dcterms:W3CDTF">2026-04-22T09:01:57Z</dcterms:modified>
</cp:coreProperties>
</file>